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becode\RicenowCRM\"/>
    </mc:Choice>
  </mc:AlternateContent>
  <xr:revisionPtr revIDLastSave="0" documentId="8_{75907038-0399-4328-9D1C-AB248536C606}" xr6:coauthVersionLast="47" xr6:coauthVersionMax="47" xr10:uidLastSave="{00000000-0000-0000-0000-000000000000}"/>
  <bookViews>
    <workbookView xWindow="-110" yWindow="-110" windowWidth="19420" windowHeight="11500" activeTab="2" xr2:uid="{51DFBE1B-7EFE-45AD-A76C-40EC3EAF5ABF}"/>
  </bookViews>
  <sheets>
    <sheet name="Menu Sample" sheetId="1" r:id="rId1"/>
    <sheet name="Bảng tin 1 ngày Sample" sheetId="2" r:id="rId2"/>
    <sheet name="Thông tin bếp s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3" l="1"/>
  <c r="E5" i="3"/>
  <c r="D5" i="3"/>
  <c r="C5" i="3"/>
  <c r="B5" i="3"/>
  <c r="T69" i="2"/>
  <c r="T68" i="2"/>
  <c r="T67" i="2"/>
  <c r="T66" i="2"/>
  <c r="T65" i="2"/>
  <c r="T64" i="2"/>
  <c r="T63" i="2"/>
  <c r="T62" i="2"/>
  <c r="T61" i="2"/>
  <c r="T60" i="2"/>
  <c r="H60" i="2"/>
  <c r="G60" i="2"/>
  <c r="E60" i="2"/>
  <c r="D60" i="2"/>
  <c r="T59" i="2"/>
  <c r="T58" i="2"/>
  <c r="K57" i="2"/>
  <c r="T57" i="2" s="1"/>
  <c r="J57" i="2"/>
  <c r="I57" i="2"/>
  <c r="H57" i="2"/>
  <c r="G57" i="2"/>
  <c r="F57" i="2"/>
  <c r="F60" i="2" s="1"/>
  <c r="E57" i="2"/>
  <c r="D57" i="2"/>
  <c r="T56" i="2"/>
  <c r="K56" i="2"/>
  <c r="K55" i="2"/>
  <c r="T55" i="2" s="1"/>
  <c r="T54" i="2"/>
  <c r="K54" i="2"/>
  <c r="K53" i="2"/>
  <c r="T53" i="2" s="1"/>
  <c r="T52" i="2"/>
  <c r="K52" i="2"/>
  <c r="K51" i="2"/>
  <c r="T51" i="2" s="1"/>
  <c r="K50" i="2"/>
  <c r="K49" i="2"/>
  <c r="T49" i="2" s="1"/>
  <c r="K48" i="2"/>
  <c r="T48" i="2" s="1"/>
  <c r="T47" i="2"/>
  <c r="T46" i="2"/>
  <c r="K45" i="2"/>
  <c r="T45" i="2" s="1"/>
  <c r="T44" i="2"/>
  <c r="K43" i="2"/>
  <c r="T43" i="2" s="1"/>
  <c r="T42" i="2"/>
  <c r="T41" i="2"/>
  <c r="K40" i="2"/>
  <c r="T40" i="2" s="1"/>
  <c r="K39" i="2"/>
  <c r="T39" i="2" s="1"/>
  <c r="K38" i="2"/>
  <c r="T38" i="2" s="1"/>
  <c r="T37" i="2"/>
  <c r="K37" i="2"/>
  <c r="T36" i="2"/>
  <c r="T35" i="2"/>
  <c r="T34" i="2"/>
  <c r="K34" i="2"/>
  <c r="K33" i="2"/>
  <c r="T33" i="2" s="1"/>
  <c r="T32" i="2"/>
  <c r="K31" i="2"/>
  <c r="T31" i="2" s="1"/>
  <c r="T30" i="2"/>
  <c r="K30" i="2"/>
  <c r="K29" i="2"/>
  <c r="T29" i="2" s="1"/>
  <c r="T28" i="2"/>
  <c r="T27" i="2"/>
  <c r="T26" i="2"/>
  <c r="K25" i="2"/>
  <c r="T25" i="2" s="1"/>
  <c r="T24" i="2"/>
  <c r="R23" i="2"/>
  <c r="T23" i="2" s="1"/>
  <c r="R22" i="2"/>
  <c r="T22" i="2" s="1"/>
  <c r="T21" i="2"/>
  <c r="T20" i="2"/>
  <c r="T19" i="2"/>
  <c r="K19" i="2"/>
  <c r="K18" i="2"/>
  <c r="T18" i="2" s="1"/>
  <c r="K17" i="2"/>
  <c r="T17" i="2" s="1"/>
  <c r="T16" i="2"/>
  <c r="T15" i="2"/>
</calcChain>
</file>

<file path=xl/sharedStrings.xml><?xml version="1.0" encoding="utf-8"?>
<sst xmlns="http://schemas.openxmlformats.org/spreadsheetml/2006/main" count="307" uniqueCount="220">
  <si>
    <t>MENU TUẦN 4 THÁNG 02.2026</t>
  </si>
  <si>
    <t>MÓN</t>
  </si>
  <si>
    <t>Thứ 2
 20/4</t>
  </si>
  <si>
    <t>Thứ 3
 21/4</t>
  </si>
  <si>
    <t>Thứ 4
 22/4</t>
  </si>
  <si>
    <t>Thứ 5
 23/4</t>
  </si>
  <si>
    <t>Thứ 6
 25/4</t>
  </si>
  <si>
    <t>Thứ 7 
 26/4</t>
  </si>
  <si>
    <t>Món chính 1</t>
  </si>
  <si>
    <t>Thịt xào dưa cải chua</t>
  </si>
  <si>
    <t>Thịt rim nước dừa</t>
  </si>
  <si>
    <t>Thịt kho trứng</t>
  </si>
  <si>
    <t>Thịt hấp sả</t>
  </si>
  <si>
    <t>Thịt quay + dưa muối</t>
  </si>
  <si>
    <t>Giả cầy hầm măng</t>
  </si>
  <si>
    <t>Món chính 2</t>
  </si>
  <si>
    <t>Gà nấu cà ri</t>
  </si>
  <si>
    <t>Gà rang lá móc mật</t>
  </si>
  <si>
    <t>Gà hầm ngải cứu</t>
  </si>
  <si>
    <t>Gà lúc lắc</t>
  </si>
  <si>
    <t>Gà xào ngô nấm</t>
  </si>
  <si>
    <t>Gà roti cốt dừa</t>
  </si>
  <si>
    <t>Món chính 3</t>
  </si>
  <si>
    <t>Cá nục kho dứa</t>
  </si>
  <si>
    <t>Cá rô rim gừng</t>
  </si>
  <si>
    <t>cá thu rim mắm</t>
  </si>
  <si>
    <t>tôm rang thịt</t>
  </si>
  <si>
    <t>Thăn cá xào cần tỏi</t>
  </si>
  <si>
    <t>Cá trắm sốt cà chua</t>
  </si>
  <si>
    <t>Món chính 4</t>
  </si>
  <si>
    <t>Sườn kho măng</t>
  </si>
  <si>
    <t>Bò xào thập cẩm</t>
  </si>
  <si>
    <t>Đậu nhồi thịt sốt cà chua</t>
  </si>
  <si>
    <t>Bò nấu sốt vang</t>
  </si>
  <si>
    <t>Bún vịt</t>
  </si>
  <si>
    <t>Món phụ</t>
  </si>
  <si>
    <t>Chuối đậu om</t>
  </si>
  <si>
    <t>trứng tráng cà rốt</t>
  </si>
  <si>
    <t>Củ cải xào trứng</t>
  </si>
  <si>
    <t>Cá chi chi rim lạc</t>
  </si>
  <si>
    <t>Đậu phụ rim tỏi ớt</t>
  </si>
  <si>
    <t>Thịt băm rang hành</t>
  </si>
  <si>
    <t>Món rau</t>
  </si>
  <si>
    <t>Rau lang luộc</t>
  </si>
  <si>
    <t>lặc lè luộc</t>
  </si>
  <si>
    <t>rau cải luộc</t>
  </si>
  <si>
    <t>Bắp cải xào</t>
  </si>
  <si>
    <t>rau muống luộc</t>
  </si>
  <si>
    <t>Bắp cải cà rốt luộc</t>
  </si>
  <si>
    <t>Cơm</t>
  </si>
  <si>
    <t>Cơm trắng</t>
  </si>
  <si>
    <t>Món canh</t>
  </si>
  <si>
    <t>Canh chua thịt thả giá</t>
  </si>
  <si>
    <t>Canh rau cải</t>
  </si>
  <si>
    <t>Canh mồng tơi</t>
  </si>
  <si>
    <t>Canh rau ngót</t>
  </si>
  <si>
    <t>nước rau muống me</t>
  </si>
  <si>
    <t>Canh bí</t>
  </si>
  <si>
    <t>MÓN CHAY</t>
  </si>
  <si>
    <t>Nấm xào đỗ côve 
 Chuối đậu om 
 Nem chay</t>
  </si>
  <si>
    <t>Váng đậu xào thập cẩm
 Giò chay kho 
 Lạc chiên</t>
  </si>
  <si>
    <t>Củ cải xào trứng
 Đậu phụ sốt cà chua
 Ngô hấp</t>
  </si>
  <si>
    <t>Giò chay rim tiêu
 Lạc chiên
 Khoai lang hấp</t>
  </si>
  <si>
    <t>Nem chay
 Đậu phụ rim tỏi ớt
 Rau cải xào nấm</t>
  </si>
  <si>
    <t>Menu Riêng</t>
  </si>
  <si>
    <t>Trường học</t>
  </si>
  <si>
    <t>Vạn phúc</t>
  </si>
  <si>
    <t>Khách hàng 1</t>
  </si>
  <si>
    <t>Khách hàng 2</t>
  </si>
  <si>
    <t xml:space="preserve">MÓN </t>
  </si>
  <si>
    <t>Thứ 2
20/4</t>
  </si>
  <si>
    <t>Thứ 3
21/4</t>
  </si>
  <si>
    <t>Thứ 4
22/4</t>
  </si>
  <si>
    <t>Thứ 5
23/4</t>
  </si>
  <si>
    <t>Thứ 6
25/4</t>
  </si>
  <si>
    <t>Thịt rim dừa</t>
  </si>
  <si>
    <t>Cá rô rim gừng (FILE)</t>
  </si>
  <si>
    <t>Đậu  thịt sốt cà chua</t>
  </si>
  <si>
    <t>BÚN MĂNG VỊT</t>
  </si>
  <si>
    <t xml:space="preserve">Món phụ </t>
  </si>
  <si>
    <t>trứng cút rim</t>
  </si>
  <si>
    <t>thịt băm xào ngô</t>
  </si>
  <si>
    <t xml:space="preserve">Món rau </t>
  </si>
  <si>
    <t>mướp nhật luộc</t>
  </si>
  <si>
    <t>cơm trắng</t>
  </si>
  <si>
    <t>Tráng miệng</t>
  </si>
  <si>
    <t>chuối</t>
  </si>
  <si>
    <t>BÁO CÁO CUỐI NGÀY</t>
  </si>
  <si>
    <t>KẾT LUẬN</t>
  </si>
  <si>
    <t>M1</t>
  </si>
  <si>
    <t>RAU</t>
  </si>
  <si>
    <t>M2</t>
  </si>
  <si>
    <t>CANH</t>
  </si>
  <si>
    <t>M3</t>
  </si>
  <si>
    <t>CƠM</t>
  </si>
  <si>
    <t>M4</t>
  </si>
  <si>
    <t>M5</t>
  </si>
  <si>
    <t>M6</t>
  </si>
  <si>
    <t>Thịt rang cháy cạnh+ nem rán</t>
  </si>
  <si>
    <t>M7</t>
  </si>
  <si>
    <t>M8</t>
  </si>
  <si>
    <t>M9</t>
  </si>
  <si>
    <t>Ship</t>
  </si>
  <si>
    <t>Tên Khách hàng</t>
  </si>
  <si>
    <t>Tổng</t>
  </si>
  <si>
    <t>Ghi chú</t>
  </si>
  <si>
    <t>Đi kèm</t>
  </si>
  <si>
    <t>Địa chỉ</t>
  </si>
  <si>
    <t>SĐT</t>
  </si>
  <si>
    <t>Loại khay</t>
  </si>
  <si>
    <t>Đơn giá</t>
  </si>
  <si>
    <t>Phí ship/ chuyến</t>
  </si>
  <si>
    <t>11h30</t>
  </si>
  <si>
    <t>Sự kiện trường HV bưu chính viễn thông</t>
  </si>
  <si>
    <t>122 Hoàng Quốc Việt, Nghĩa Đô</t>
  </si>
  <si>
    <t>Uyên 0766010202</t>
  </si>
  <si>
    <t>Sự kiện Scots DD NGHỆ (2 mặn + rau canh)</t>
  </si>
  <si>
    <t>11h</t>
  </si>
  <si>
    <t>Sự kiện Ftel</t>
  </si>
  <si>
    <t>107 Nguyễn Phong Sắc</t>
  </si>
  <si>
    <t>10h30</t>
  </si>
  <si>
    <t>148 Khuất duy tiến</t>
  </si>
  <si>
    <t>KH CÔNG NỢ</t>
  </si>
  <si>
    <t>Thái Bình Dương ( pac)</t>
  </si>
  <si>
    <t>37 Ngô Quyền - xuống hầm B2 rẽ phải</t>
  </si>
  <si>
    <t xml:space="preserve">Đơn thợ xây Xuân Phương </t>
  </si>
  <si>
    <t>nghỉ</t>
  </si>
  <si>
    <t>Mắm ớt</t>
  </si>
  <si>
    <t>Toyota Hà Đông</t>
  </si>
  <si>
    <t>Trường THPT Lê Hồng Phong</t>
  </si>
  <si>
    <t>41760 cả VAT</t>
  </si>
  <si>
    <t>DKSH - 63 Vạn Phúc</t>
  </si>
  <si>
    <t>x</t>
  </si>
  <si>
    <t>Cơm thêm
Gửi chai mắm + xì dầu + tương ớt</t>
  </si>
  <si>
    <t>63 Vạn Phúc, Hà đông</t>
  </si>
  <si>
    <t>0979758280</t>
  </si>
  <si>
    <t>2 Thái Hà</t>
  </si>
  <si>
    <t>tầng 4, số 2 Thái Hà</t>
  </si>
  <si>
    <t>Chị Hồng Nhung - 0396991868</t>
  </si>
  <si>
    <t>Đồng Lầm - Đống Đa
 ( 2 mặn + rau canh - KHÔNG CƠM))</t>
  </si>
  <si>
    <t>HOA QUẢ</t>
  </si>
  <si>
    <t>99 ô Đồng Lầm, Đống Đa</t>
  </si>
  <si>
    <t>Hương 0377127191</t>
  </si>
  <si>
    <t>ĐẶNG VĂN NGỮ 60K - ĐẦY ĐẶN
 (2 mặn + 1 phụ)</t>
  </si>
  <si>
    <t>33 gà cà ri + sườn kho măng
5 chay</t>
  </si>
  <si>
    <t>CANH ĐÁY</t>
  </si>
  <si>
    <t>Số 26 ngõ 4 đặng văn ngữ</t>
  </si>
  <si>
    <t>SANG-0986764285</t>
  </si>
  <si>
    <t>Ng Huy Tưởng</t>
  </si>
  <si>
    <t>Unimob - Ngụy Như Kon Tum</t>
  </si>
  <si>
    <t>Tầng 6, Tòa COMATCE TOWER, 61 Ngụy Như Kon Tum</t>
  </si>
  <si>
    <t>0941820898</t>
  </si>
  <si>
    <t>ĐÀM TRẤU</t>
  </si>
  <si>
    <t>quất thêm</t>
  </si>
  <si>
    <t>219 TRUNG KÍNH THÁP B -
 TẦNG 5</t>
  </si>
  <si>
    <t>Tầng 5 tháp B, 219 Trung Kính (cty Viettel)</t>
  </si>
  <si>
    <t>0984824750</t>
  </si>
  <si>
    <t>49 Thái Thịnh</t>
  </si>
  <si>
    <t>219 TRUNG KÍNH THÁP C</t>
  </si>
  <si>
    <t>ăn T3,5</t>
  </si>
  <si>
    <t>Tầng 24, tòa Central Point 219 Trung Kính</t>
  </si>
  <si>
    <t>10h50 đặt ship</t>
  </si>
  <si>
    <t>Mễ trì (100 Dịch Vọng Hậu) - Hộp 1 lần
 (HOA QUẢ)</t>
  </si>
  <si>
    <t>Hoa quả tráng miệng</t>
  </si>
  <si>
    <t>0978898290</t>
  </si>
  <si>
    <t>Hộp 1 lần</t>
  </si>
  <si>
    <t>Onetap 58 Tố Hữu tầng 5 (đầy đặn)</t>
  </si>
  <si>
    <t>HOA QUẢ, ĐŨA, 1 CƠM THÊM</t>
  </si>
  <si>
    <t>Tầng 5, tòa Ecofile 58 Tố Hữu</t>
  </si>
  <si>
    <t>Thịnh Liệt</t>
  </si>
  <si>
    <t>2 cơm thêm</t>
  </si>
  <si>
    <t>Phạm Văn Đồng</t>
  </si>
  <si>
    <t>THÊM CƠM, CANH</t>
  </si>
  <si>
    <t>Tầng 3+4, số nhà 265 đường Phạm Văn Đồng, tổ dân phố Cáo Đỉnh 2, phường Xuân Đỉnh, Hà Nội</t>
  </si>
  <si>
    <t>0967177230/ 0985328822</t>
  </si>
  <si>
    <t>Job 3s - D2</t>
  </si>
  <si>
    <t>HAPCO - C1 Thành Công</t>
  </si>
  <si>
    <t>ANMAC (chuyển về số 7 ngõ 316 Lê Trọng Tấn)</t>
  </si>
  <si>
    <t>số 7 ngõ 316 Lê Trọng Tấn</t>
  </si>
  <si>
    <t>đơn mới 48 Tố Hữu
2 mặn + rau canh, (1/2 cơm)</t>
  </si>
  <si>
    <t>4 thịt xào dưa + sườn kho măng
4 gà cà ri + cá nục kho dứa</t>
  </si>
  <si>
    <t>Tòa nhà Viwaseen Tower, 48 Tố Hữu</t>
  </si>
  <si>
    <t>0931652642</t>
  </si>
  <si>
    <t>đơn mới MỖ Lao Zen8</t>
  </si>
  <si>
    <t>6 cơm thêm</t>
  </si>
  <si>
    <t>VVA03A- 13Hoang Thành Villas,Mỗ Lao, Hà Đông</t>
  </si>
  <si>
    <t>Châm: 0392208555
Thảo: 0358724459</t>
  </si>
  <si>
    <t>Cafe Harper 11h50</t>
  </si>
  <si>
    <t>Cafe mang về</t>
  </si>
  <si>
    <t>Hàng xóm Trung Anh - 40</t>
  </si>
  <si>
    <t>ĂN ĐŨA</t>
  </si>
  <si>
    <t>Nhân viên cafe</t>
  </si>
  <si>
    <t>CAFE 2 MÓN CHÍNH 50</t>
  </si>
  <si>
    <t>Himlam Vạn Phúc</t>
  </si>
  <si>
    <t>NƯỚC CHẤM</t>
  </si>
  <si>
    <t>Cơm lẻ 40</t>
  </si>
  <si>
    <t>Cơm lẻ 35</t>
  </si>
  <si>
    <t>Cơm lẻ 30</t>
  </si>
  <si>
    <t>Ngọc Anh : 
 0976491781</t>
  </si>
  <si>
    <t>ăn thử</t>
  </si>
  <si>
    <t>188 Trường Chinh - HỘP 1 LẦN</t>
  </si>
  <si>
    <t>Hộp 1 lần đựng túi giữ nhiệt</t>
  </si>
  <si>
    <t>73 Hoàng Cầu-HỘP 1 LẦN</t>
  </si>
  <si>
    <t>55 Ngõ Giếng-HỘP 1 LẦN</t>
  </si>
  <si>
    <t>Cơm ship</t>
  </si>
  <si>
    <t>Đơn này c Thanh ko cần vào sổ</t>
  </si>
  <si>
    <t>Báo nấu thêm</t>
  </si>
  <si>
    <t>LÀM THÊM</t>
  </si>
  <si>
    <t>Nấu</t>
  </si>
  <si>
    <t>Còn</t>
  </si>
  <si>
    <t>ĐƠN SÁNG</t>
  </si>
  <si>
    <t>BVHH - CHÁO</t>
  </si>
  <si>
    <t>ĐƠN CHIỀU</t>
  </si>
  <si>
    <t xml:space="preserve">Thịnh Liệt </t>
  </si>
  <si>
    <t>Đơn mới Xuân Phương hộp 1 lần</t>
  </si>
  <si>
    <t>Đoàn phim</t>
  </si>
  <si>
    <t>Số tiền</t>
  </si>
  <si>
    <t>Cột 2</t>
  </si>
  <si>
    <t>Món Phụ</t>
  </si>
  <si>
    <t>Canh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</si>
</sst>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_);_(* \(#,##0\);_(* &quot;-&quot;??_);_(@_)"/>
  </numFmts>
  <fonts count="25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</font>
    <font>
      <sz val="11"/>
      <name val="Calibri"/>
    </font>
    <font>
      <b/>
      <sz val="12"/>
      <color rgb="FFFFFFFF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b/>
      <sz val="12"/>
      <color rgb="FF1E4E79"/>
      <name val="Times New Roman"/>
    </font>
    <font>
      <b/>
      <sz val="12"/>
      <color rgb="FF1F4E78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4"/>
      <color theme="1"/>
      <name val="Times New Roman"/>
    </font>
    <font>
      <b/>
      <sz val="11"/>
      <color rgb="FF434343"/>
      <name val="Times New Roman"/>
    </font>
    <font>
      <b/>
      <sz val="15"/>
      <color rgb="FF434343"/>
      <name val="Times New Roman"/>
    </font>
    <font>
      <sz val="11"/>
      <color rgb="FF434343"/>
      <name val="Calibri"/>
    </font>
    <font>
      <sz val="11"/>
      <color rgb="FF000000"/>
      <name val="Calibri"/>
    </font>
    <font>
      <b/>
      <sz val="9"/>
      <color rgb="FFFF0000"/>
      <name val="Times New Roman"/>
    </font>
    <font>
      <sz val="11"/>
      <color rgb="FF434343"/>
      <name val="Times New Roman"/>
    </font>
    <font>
      <sz val="11"/>
      <color theme="1"/>
      <name val="Calibri"/>
    </font>
    <font>
      <b/>
      <sz val="11"/>
      <color rgb="FF000000"/>
      <name val="Calibri"/>
    </font>
    <font>
      <sz val="11"/>
      <color rgb="FF081B3A"/>
      <name val="Arial"/>
    </font>
    <font>
      <sz val="12"/>
      <color rgb="FF000000"/>
      <name val="Calibri"/>
    </font>
    <font>
      <b/>
      <sz val="11"/>
      <color theme="1"/>
      <name val="Calibri"/>
    </font>
    <font>
      <sz val="11"/>
      <color rgb="FFFFFFFF"/>
      <name val="Calibri"/>
    </font>
    <font>
      <b/>
      <sz val="10"/>
      <color theme="1"/>
      <name val="Times New Roman"/>
    </font>
    <font>
      <b/>
      <sz val="11"/>
      <color rgb="FF000000"/>
      <name val="Times New Roman"/>
    </font>
  </fonts>
  <fills count="1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2" fillId="0" borderId="2" xfId="0" applyFont="1" applyBorder="1"/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8" fillId="3" borderId="4" xfId="0" applyFont="1" applyFill="1" applyBorder="1" applyAlignment="1">
      <alignment horizontal="center" wrapText="1"/>
    </xf>
    <xf numFmtId="0" fontId="9" fillId="4" borderId="4" xfId="0" applyFont="1" applyFill="1" applyBorder="1"/>
    <xf numFmtId="0" fontId="9" fillId="0" borderId="4" xfId="0" applyFont="1" applyBorder="1" applyAlignment="1">
      <alignment horizontal="center" wrapText="1"/>
    </xf>
    <xf numFmtId="0" fontId="9" fillId="4" borderId="4" xfId="0" applyFont="1" applyFill="1" applyBorder="1" applyAlignment="1">
      <alignment horizontal="center"/>
    </xf>
    <xf numFmtId="0" fontId="9" fillId="0" borderId="4" xfId="0" applyFont="1" applyBorder="1"/>
    <xf numFmtId="0" fontId="10" fillId="0" borderId="4" xfId="0" applyFont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2" fillId="4" borderId="6" xfId="0" applyFont="1" applyFill="1" applyBorder="1" applyAlignment="1">
      <alignment horizontal="center" wrapText="1"/>
    </xf>
    <xf numFmtId="0" fontId="2" fillId="0" borderId="6" xfId="0" applyFont="1" applyBorder="1"/>
    <xf numFmtId="0" fontId="12" fillId="0" borderId="6" xfId="0" applyFont="1" applyBorder="1" applyAlignment="1">
      <alignment horizontal="center" wrapText="1"/>
    </xf>
    <xf numFmtId="0" fontId="2" fillId="0" borderId="7" xfId="0" applyFont="1" applyBorder="1"/>
    <xf numFmtId="0" fontId="13" fillId="0" borderId="8" xfId="0" applyFont="1" applyBorder="1" applyAlignment="1">
      <alignment horizontal="left" wrapText="1"/>
    </xf>
    <xf numFmtId="0" fontId="14" fillId="4" borderId="2" xfId="0" applyFont="1" applyFill="1" applyBorder="1" applyAlignment="1">
      <alignment wrapText="1"/>
    </xf>
    <xf numFmtId="0" fontId="15" fillId="0" borderId="6" xfId="0" applyFont="1" applyBorder="1" applyAlignment="1">
      <alignment horizontal="center" wrapText="1"/>
    </xf>
    <xf numFmtId="0" fontId="14" fillId="0" borderId="6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0" fontId="1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4" fillId="4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6" fillId="4" borderId="3" xfId="0" applyFont="1" applyFill="1" applyBorder="1" applyAlignment="1">
      <alignment horizontal="center" wrapText="1"/>
    </xf>
    <xf numFmtId="0" fontId="11" fillId="7" borderId="2" xfId="0" applyFont="1" applyFill="1" applyBorder="1" applyAlignment="1">
      <alignment horizontal="center" wrapText="1"/>
    </xf>
    <xf numFmtId="0" fontId="14" fillId="7" borderId="2" xfId="0" applyFont="1" applyFill="1" applyBorder="1" applyAlignment="1">
      <alignment wrapText="1"/>
    </xf>
    <xf numFmtId="0" fontId="11" fillId="7" borderId="2" xfId="0" applyFont="1" applyFill="1" applyBorder="1" applyAlignment="1">
      <alignment horizontal="left" wrapText="1"/>
    </xf>
    <xf numFmtId="0" fontId="16" fillId="7" borderId="2" xfId="0" applyFont="1" applyFill="1" applyBorder="1" applyAlignment="1">
      <alignment horizontal="center" wrapText="1"/>
    </xf>
    <xf numFmtId="1" fontId="16" fillId="0" borderId="0" xfId="0" applyNumberFormat="1" applyFont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17" fillId="4" borderId="4" xfId="0" applyFont="1" applyFill="1" applyBorder="1"/>
    <xf numFmtId="41" fontId="17" fillId="8" borderId="7" xfId="0" applyNumberFormat="1" applyFont="1" applyFill="1" applyBorder="1"/>
    <xf numFmtId="164" fontId="11" fillId="4" borderId="2" xfId="0" applyNumberFormat="1" applyFont="1" applyFill="1" applyBorder="1" applyAlignment="1">
      <alignment horizontal="center" wrapText="1"/>
    </xf>
    <xf numFmtId="0" fontId="14" fillId="4" borderId="2" xfId="0" applyFont="1" applyFill="1" applyBorder="1" applyAlignment="1">
      <alignment horizontal="left" wrapText="1"/>
    </xf>
    <xf numFmtId="0" fontId="17" fillId="4" borderId="2" xfId="0" applyFont="1" applyFill="1" applyBorder="1"/>
    <xf numFmtId="0" fontId="11" fillId="9" borderId="2" xfId="0" applyFont="1" applyFill="1" applyBorder="1" applyAlignment="1">
      <alignment horizontal="center" wrapText="1"/>
    </xf>
    <xf numFmtId="1" fontId="11" fillId="4" borderId="2" xfId="0" applyNumberFormat="1" applyFont="1" applyFill="1" applyBorder="1" applyAlignment="1">
      <alignment horizontal="center" wrapText="1"/>
    </xf>
    <xf numFmtId="0" fontId="17" fillId="0" borderId="0" xfId="0" applyFont="1"/>
    <xf numFmtId="0" fontId="11" fillId="10" borderId="2" xfId="0" applyFont="1" applyFill="1" applyBorder="1" applyAlignment="1">
      <alignment horizontal="center" wrapText="1"/>
    </xf>
    <xf numFmtId="0" fontId="14" fillId="10" borderId="2" xfId="0" applyFont="1" applyFill="1" applyBorder="1" applyAlignment="1">
      <alignment wrapText="1"/>
    </xf>
    <xf numFmtId="0" fontId="17" fillId="10" borderId="4" xfId="0" applyFont="1" applyFill="1" applyBorder="1"/>
    <xf numFmtId="164" fontId="14" fillId="10" borderId="2" xfId="0" applyNumberFormat="1" applyFont="1" applyFill="1" applyBorder="1" applyAlignment="1">
      <alignment wrapText="1"/>
    </xf>
    <xf numFmtId="0" fontId="17" fillId="0" borderId="4" xfId="0" applyFont="1" applyBorder="1"/>
    <xf numFmtId="164" fontId="14" fillId="4" borderId="2" xfId="0" applyNumberFormat="1" applyFont="1" applyFill="1" applyBorder="1" applyAlignment="1">
      <alignment wrapText="1"/>
    </xf>
    <xf numFmtId="0" fontId="11" fillId="11" borderId="2" xfId="0" applyFont="1" applyFill="1" applyBorder="1" applyAlignment="1">
      <alignment horizontal="center" wrapText="1"/>
    </xf>
    <xf numFmtId="0" fontId="14" fillId="4" borderId="2" xfId="0" quotePrefix="1" applyFont="1" applyFill="1" applyBorder="1" applyAlignment="1">
      <alignment horizontal="left" wrapText="1"/>
    </xf>
    <xf numFmtId="0" fontId="14" fillId="4" borderId="4" xfId="0" applyFont="1" applyFill="1" applyBorder="1" applyAlignment="1">
      <alignment wrapText="1"/>
    </xf>
    <xf numFmtId="0" fontId="18" fillId="4" borderId="2" xfId="0" applyFont="1" applyFill="1" applyBorder="1" applyAlignment="1">
      <alignment horizontal="left" wrapText="1"/>
    </xf>
    <xf numFmtId="0" fontId="19" fillId="4" borderId="4" xfId="0" applyFont="1" applyFill="1" applyBorder="1"/>
    <xf numFmtId="164" fontId="16" fillId="4" borderId="2" xfId="0" applyNumberFormat="1" applyFont="1" applyFill="1" applyBorder="1" applyAlignment="1">
      <alignment horizontal="center" wrapText="1"/>
    </xf>
    <xf numFmtId="0" fontId="18" fillId="4" borderId="4" xfId="0" applyFont="1" applyFill="1" applyBorder="1" applyAlignment="1">
      <alignment horizontal="left" wrapText="1"/>
    </xf>
    <xf numFmtId="164" fontId="14" fillId="4" borderId="2" xfId="0" applyNumberFormat="1" applyFont="1" applyFill="1" applyBorder="1" applyAlignment="1">
      <alignment horizontal="left" wrapText="1"/>
    </xf>
    <xf numFmtId="0" fontId="17" fillId="4" borderId="2" xfId="0" quotePrefix="1" applyFont="1" applyFill="1" applyBorder="1"/>
    <xf numFmtId="0" fontId="14" fillId="4" borderId="2" xfId="0" applyFont="1" applyFill="1" applyBorder="1" applyAlignment="1">
      <alignment horizontal="center" wrapText="1"/>
    </xf>
    <xf numFmtId="1" fontId="16" fillId="4" borderId="2" xfId="0" applyNumberFormat="1" applyFont="1" applyFill="1" applyBorder="1" applyAlignment="1">
      <alignment horizontal="center" wrapText="1"/>
    </xf>
    <xf numFmtId="0" fontId="11" fillId="4" borderId="2" xfId="0" quotePrefix="1" applyFont="1" applyFill="1" applyBorder="1" applyAlignment="1">
      <alignment horizontal="center" wrapText="1"/>
    </xf>
    <xf numFmtId="0" fontId="20" fillId="0" borderId="4" xfId="0" applyFont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22" fillId="12" borderId="4" xfId="0" applyFont="1" applyFill="1" applyBorder="1"/>
    <xf numFmtId="0" fontId="1" fillId="0" borderId="2" xfId="0" applyFont="1" applyBorder="1" applyAlignment="1">
      <alignment horizontal="left" wrapText="1"/>
    </xf>
    <xf numFmtId="1" fontId="14" fillId="4" borderId="2" xfId="0" applyNumberFormat="1" applyFont="1" applyFill="1" applyBorder="1" applyAlignment="1">
      <alignment wrapText="1"/>
    </xf>
    <xf numFmtId="0" fontId="14" fillId="4" borderId="2" xfId="0" quotePrefix="1" applyFont="1" applyFill="1" applyBorder="1" applyAlignment="1">
      <alignment wrapText="1"/>
    </xf>
    <xf numFmtId="0" fontId="11" fillId="4" borderId="2" xfId="0" applyFont="1" applyFill="1" applyBorder="1" applyAlignment="1">
      <alignment horizontal="left" wrapText="1"/>
    </xf>
    <xf numFmtId="1" fontId="17" fillId="8" borderId="0" xfId="0" applyNumberFormat="1" applyFont="1" applyFill="1"/>
    <xf numFmtId="164" fontId="14" fillId="0" borderId="0" xfId="0" applyNumberFormat="1" applyFont="1" applyAlignment="1">
      <alignment wrapText="1"/>
    </xf>
    <xf numFmtId="0" fontId="11" fillId="4" borderId="0" xfId="0" applyFont="1" applyFill="1" applyAlignment="1">
      <alignment horizontal="center" wrapText="1"/>
    </xf>
    <xf numFmtId="1" fontId="17" fillId="13" borderId="0" xfId="0" applyNumberFormat="1" applyFont="1" applyFill="1"/>
    <xf numFmtId="0" fontId="17" fillId="13" borderId="0" xfId="0" applyFont="1" applyFill="1"/>
    <xf numFmtId="41" fontId="17" fillId="13" borderId="0" xfId="0" applyNumberFormat="1" applyFont="1" applyFill="1"/>
    <xf numFmtId="0" fontId="11" fillId="0" borderId="0" xfId="0" applyFont="1" applyAlignment="1">
      <alignment horizontal="center" wrapText="1"/>
    </xf>
    <xf numFmtId="1" fontId="16" fillId="0" borderId="0" xfId="0" applyNumberFormat="1" applyFont="1" applyAlignment="1">
      <alignment horizontal="left" wrapText="1"/>
    </xf>
    <xf numFmtId="0" fontId="11" fillId="4" borderId="8" xfId="0" applyFont="1" applyFill="1" applyBorder="1" applyAlignment="1">
      <alignment horizontal="center" wrapText="1"/>
    </xf>
    <xf numFmtId="1" fontId="17" fillId="4" borderId="4" xfId="0" applyNumberFormat="1" applyFont="1" applyFill="1" applyBorder="1" applyAlignment="1">
      <alignment horizontal="right"/>
    </xf>
    <xf numFmtId="0" fontId="17" fillId="4" borderId="4" xfId="0" applyFont="1" applyFill="1" applyBorder="1" applyAlignment="1">
      <alignment horizontal="right"/>
    </xf>
    <xf numFmtId="41" fontId="21" fillId="13" borderId="4" xfId="0" applyNumberFormat="1" applyFont="1" applyFill="1" applyBorder="1"/>
    <xf numFmtId="41" fontId="11" fillId="13" borderId="0" xfId="0" applyNumberFormat="1" applyFont="1" applyFill="1" applyAlignment="1">
      <alignment horizontal="center" wrapText="1"/>
    </xf>
    <xf numFmtId="1" fontId="14" fillId="0" borderId="0" xfId="0" applyNumberFormat="1" applyFont="1" applyAlignment="1">
      <alignment wrapText="1"/>
    </xf>
    <xf numFmtId="41" fontId="23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24" fillId="13" borderId="0" xfId="0" applyFont="1" applyFill="1" applyAlignment="1">
      <alignment horizontal="center" wrapText="1"/>
    </xf>
    <xf numFmtId="0" fontId="14" fillId="4" borderId="1" xfId="0" applyFont="1" applyFill="1" applyBorder="1" applyAlignment="1">
      <alignment wrapText="1"/>
    </xf>
    <xf numFmtId="41" fontId="14" fillId="13" borderId="1" xfId="0" applyNumberFormat="1" applyFont="1" applyFill="1" applyBorder="1" applyAlignment="1">
      <alignment wrapText="1"/>
    </xf>
    <xf numFmtId="0" fontId="14" fillId="13" borderId="1" xfId="0" applyFont="1" applyFill="1" applyBorder="1" applyAlignment="1">
      <alignment wrapText="1"/>
    </xf>
    <xf numFmtId="41" fontId="14" fillId="0" borderId="0" xfId="0" applyNumberFormat="1" applyFont="1" applyAlignment="1">
      <alignment wrapText="1"/>
    </xf>
    <xf numFmtId="0" fontId="14" fillId="10" borderId="0" xfId="0" applyFont="1" applyFill="1" applyAlignment="1">
      <alignment wrapText="1"/>
    </xf>
    <xf numFmtId="0" fontId="14" fillId="10" borderId="8" xfId="0" applyFont="1" applyFill="1" applyBorder="1" applyAlignment="1">
      <alignment wrapText="1"/>
    </xf>
    <xf numFmtId="1" fontId="14" fillId="10" borderId="2" xfId="0" applyNumberFormat="1" applyFont="1" applyFill="1" applyBorder="1" applyAlignment="1">
      <alignment wrapText="1"/>
    </xf>
    <xf numFmtId="41" fontId="14" fillId="10" borderId="2" xfId="0" applyNumberFormat="1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1" fontId="14" fillId="0" borderId="1" xfId="0" applyNumberFormat="1" applyFont="1" applyBorder="1" applyAlignment="1">
      <alignment wrapText="1"/>
    </xf>
    <xf numFmtId="0" fontId="14" fillId="4" borderId="8" xfId="0" applyFont="1" applyFill="1" applyBorder="1" applyAlignment="1">
      <alignment wrapText="1"/>
    </xf>
    <xf numFmtId="0" fontId="11" fillId="0" borderId="2" xfId="0" applyFont="1" applyBorder="1" applyAlignment="1">
      <alignment horizontal="center" wrapText="1"/>
    </xf>
    <xf numFmtId="1" fontId="14" fillId="4" borderId="1" xfId="0" applyNumberFormat="1" applyFont="1" applyFill="1" applyBorder="1" applyAlignment="1">
      <alignment wrapText="1"/>
    </xf>
    <xf numFmtId="0" fontId="11" fillId="4" borderId="1" xfId="0" applyFont="1" applyFill="1" applyBorder="1" applyAlignment="1">
      <alignment horizontal="center" wrapText="1"/>
    </xf>
    <xf numFmtId="1" fontId="14" fillId="13" borderId="0" xfId="0" applyNumberFormat="1" applyFont="1" applyFill="1" applyAlignment="1">
      <alignment wrapText="1"/>
    </xf>
    <xf numFmtId="0" fontId="14" fillId="13" borderId="0" xfId="0" applyFont="1" applyFill="1" applyAlignment="1">
      <alignment wrapText="1"/>
    </xf>
    <xf numFmtId="41" fontId="14" fillId="0" borderId="2" xfId="0" applyNumberFormat="1" applyFont="1" applyBorder="1" applyAlignment="1">
      <alignment wrapText="1"/>
    </xf>
    <xf numFmtId="0" fontId="11" fillId="7" borderId="1" xfId="0" applyFont="1" applyFill="1" applyBorder="1" applyAlignment="1">
      <alignment horizontal="center" wrapText="1"/>
    </xf>
    <xf numFmtId="0" fontId="14" fillId="10" borderId="1" xfId="0" applyFont="1" applyFill="1" applyBorder="1" applyAlignment="1">
      <alignment wrapText="1"/>
    </xf>
    <xf numFmtId="0" fontId="14" fillId="4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wrapText="1"/>
    </xf>
    <xf numFmtId="0" fontId="11" fillId="7" borderId="12" xfId="0" applyFont="1" applyFill="1" applyBorder="1" applyAlignment="1">
      <alignment horizontal="center" wrapText="1"/>
    </xf>
    <xf numFmtId="1" fontId="16" fillId="0" borderId="12" xfId="0" applyNumberFormat="1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left" wrapText="1"/>
    </xf>
    <xf numFmtId="0" fontId="1" fillId="15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5" borderId="4" xfId="0" applyFont="1" applyFill="1" applyBorder="1" applyAlignment="1">
      <alignment horizontal="center"/>
    </xf>
    <xf numFmtId="0" fontId="9" fillId="10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D074-3913-4949-9557-55A82587B145}">
  <dimension ref="A1:G24"/>
  <sheetViews>
    <sheetView topLeftCell="A24" zoomScale="85" zoomScaleNormal="85" workbookViewId="0">
      <selection activeCell="A17" sqref="A17:F24"/>
    </sheetView>
  </sheetViews>
  <sheetFormatPr defaultRowHeight="14.5" x14ac:dyDescent="0.35"/>
  <cols>
    <col min="1" max="1" width="13.1796875" bestFit="1" customWidth="1"/>
    <col min="2" max="2" width="41.54296875" bestFit="1" customWidth="1"/>
    <col min="3" max="3" width="46.453125" bestFit="1" customWidth="1"/>
    <col min="4" max="4" width="44.7265625" bestFit="1" customWidth="1"/>
    <col min="5" max="5" width="42.26953125" bestFit="1" customWidth="1"/>
    <col min="6" max="6" width="44.54296875" bestFit="1" customWidth="1"/>
    <col min="7" max="7" width="19.54296875" bestFit="1" customWidth="1"/>
  </cols>
  <sheetData>
    <row r="1" spans="1:7" ht="15.5" x14ac:dyDescent="0.35">
      <c r="A1" s="1" t="s">
        <v>0</v>
      </c>
      <c r="B1" s="2"/>
      <c r="C1" s="2"/>
      <c r="D1" s="2"/>
      <c r="E1" s="2"/>
      <c r="F1" s="2"/>
      <c r="G1" s="3"/>
    </row>
    <row r="2" spans="1:7" ht="15.5" x14ac:dyDescent="0.3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.5" x14ac:dyDescent="0.35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</row>
    <row r="4" spans="1:7" ht="15.5" x14ac:dyDescent="0.35">
      <c r="A4" s="6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21</v>
      </c>
    </row>
    <row r="5" spans="1:7" ht="15.5" x14ac:dyDescent="0.35">
      <c r="A5" s="6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</row>
    <row r="6" spans="1:7" ht="15.5" x14ac:dyDescent="0.35">
      <c r="A6" s="6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/>
    </row>
    <row r="7" spans="1:7" ht="15.5" x14ac:dyDescent="0.35">
      <c r="A7" s="8" t="s">
        <v>35</v>
      </c>
      <c r="B7" s="9" t="s">
        <v>36</v>
      </c>
      <c r="C7" s="9" t="s">
        <v>37</v>
      </c>
      <c r="D7" s="9" t="s">
        <v>38</v>
      </c>
      <c r="E7" s="9" t="s">
        <v>39</v>
      </c>
      <c r="F7" s="10" t="s">
        <v>40</v>
      </c>
      <c r="G7" s="9" t="s">
        <v>41</v>
      </c>
    </row>
    <row r="8" spans="1:7" ht="15.5" x14ac:dyDescent="0.35">
      <c r="A8" s="8" t="s">
        <v>42</v>
      </c>
      <c r="B8" s="8" t="s">
        <v>43</v>
      </c>
      <c r="C8" s="8" t="s">
        <v>44</v>
      </c>
      <c r="D8" s="8" t="s">
        <v>45</v>
      </c>
      <c r="E8" s="8" t="s">
        <v>46</v>
      </c>
      <c r="F8" s="9" t="s">
        <v>47</v>
      </c>
      <c r="G8" s="9" t="s">
        <v>48</v>
      </c>
    </row>
    <row r="9" spans="1:7" ht="15.5" x14ac:dyDescent="0.35">
      <c r="A9" s="8" t="s">
        <v>49</v>
      </c>
      <c r="B9" s="8" t="s">
        <v>50</v>
      </c>
      <c r="C9" s="8" t="s">
        <v>50</v>
      </c>
      <c r="D9" s="8" t="s">
        <v>50</v>
      </c>
      <c r="E9" s="8" t="s">
        <v>50</v>
      </c>
      <c r="F9" s="8" t="s">
        <v>50</v>
      </c>
      <c r="G9" s="8" t="s">
        <v>50</v>
      </c>
    </row>
    <row r="10" spans="1:7" ht="15.5" x14ac:dyDescent="0.35">
      <c r="A10" s="8" t="s">
        <v>51</v>
      </c>
      <c r="B10" s="9" t="s">
        <v>52</v>
      </c>
      <c r="C10" s="9" t="s">
        <v>53</v>
      </c>
      <c r="D10" s="8" t="s">
        <v>54</v>
      </c>
      <c r="E10" s="8" t="s">
        <v>55</v>
      </c>
      <c r="F10" s="9" t="s">
        <v>56</v>
      </c>
      <c r="G10" s="9" t="s">
        <v>57</v>
      </c>
    </row>
    <row r="11" spans="1:7" ht="15.5" x14ac:dyDescent="0.35">
      <c r="A11" s="11" t="s">
        <v>58</v>
      </c>
      <c r="B11" s="12" t="s">
        <v>59</v>
      </c>
      <c r="C11" s="12" t="s">
        <v>60</v>
      </c>
      <c r="D11" s="12" t="s">
        <v>61</v>
      </c>
      <c r="E11" s="12" t="s">
        <v>62</v>
      </c>
      <c r="F11" s="12" t="s">
        <v>63</v>
      </c>
      <c r="G11" s="9"/>
    </row>
    <row r="13" spans="1:7" ht="15.5" x14ac:dyDescent="0.35">
      <c r="A13" s="13" t="s">
        <v>64</v>
      </c>
    </row>
    <row r="14" spans="1:7" ht="15.5" x14ac:dyDescent="0.35">
      <c r="A14" s="13" t="s">
        <v>67</v>
      </c>
      <c r="B14" t="s">
        <v>66</v>
      </c>
    </row>
    <row r="15" spans="1:7" ht="15.5" x14ac:dyDescent="0.35">
      <c r="A15" s="13" t="s">
        <v>68</v>
      </c>
      <c r="B15" t="s">
        <v>65</v>
      </c>
    </row>
    <row r="17" spans="1:6" ht="30.5" x14ac:dyDescent="0.35">
      <c r="A17" s="14" t="s">
        <v>69</v>
      </c>
      <c r="B17" s="14" t="s">
        <v>70</v>
      </c>
      <c r="C17" s="14" t="s">
        <v>71</v>
      </c>
      <c r="D17" s="14" t="s">
        <v>72</v>
      </c>
      <c r="E17" s="14" t="s">
        <v>73</v>
      </c>
      <c r="F17" s="14" t="s">
        <v>74</v>
      </c>
    </row>
    <row r="18" spans="1:6" ht="15.5" x14ac:dyDescent="0.35">
      <c r="A18" s="15" t="s">
        <v>8</v>
      </c>
      <c r="B18" s="7" t="s">
        <v>9</v>
      </c>
      <c r="C18" s="7" t="s">
        <v>75</v>
      </c>
      <c r="D18" s="7" t="s">
        <v>11</v>
      </c>
      <c r="E18" s="7" t="s">
        <v>33</v>
      </c>
      <c r="F18" s="16"/>
    </row>
    <row r="19" spans="1:6" ht="15.5" x14ac:dyDescent="0.35">
      <c r="A19" s="15" t="s">
        <v>15</v>
      </c>
      <c r="B19" s="7" t="s">
        <v>30</v>
      </c>
      <c r="C19" s="7" t="s">
        <v>76</v>
      </c>
      <c r="D19" s="7" t="s">
        <v>77</v>
      </c>
      <c r="E19" s="7" t="s">
        <v>19</v>
      </c>
      <c r="F19" s="7" t="s">
        <v>78</v>
      </c>
    </row>
    <row r="20" spans="1:6" ht="15.5" x14ac:dyDescent="0.35">
      <c r="A20" s="17" t="s">
        <v>79</v>
      </c>
      <c r="B20" s="18" t="s">
        <v>80</v>
      </c>
      <c r="C20" s="18" t="s">
        <v>37</v>
      </c>
      <c r="D20" s="18" t="s">
        <v>38</v>
      </c>
      <c r="E20" s="18" t="s">
        <v>81</v>
      </c>
      <c r="F20" s="16"/>
    </row>
    <row r="21" spans="1:6" ht="15.5" x14ac:dyDescent="0.35">
      <c r="A21" s="17" t="s">
        <v>82</v>
      </c>
      <c r="B21" s="18" t="s">
        <v>43</v>
      </c>
      <c r="C21" s="18" t="s">
        <v>83</v>
      </c>
      <c r="D21" s="18" t="s">
        <v>45</v>
      </c>
      <c r="E21" s="18" t="s">
        <v>46</v>
      </c>
      <c r="F21" s="16"/>
    </row>
    <row r="22" spans="1:6" ht="15.5" x14ac:dyDescent="0.35">
      <c r="A22" s="19"/>
      <c r="B22" s="18" t="s">
        <v>84</v>
      </c>
      <c r="C22" s="18" t="s">
        <v>84</v>
      </c>
      <c r="D22" s="18" t="s">
        <v>84</v>
      </c>
      <c r="E22" s="18" t="s">
        <v>84</v>
      </c>
      <c r="F22" s="16"/>
    </row>
    <row r="23" spans="1:6" ht="15.5" x14ac:dyDescent="0.35">
      <c r="A23" s="19"/>
      <c r="B23" s="16"/>
      <c r="C23" s="16"/>
      <c r="D23" s="16"/>
      <c r="E23" s="16"/>
      <c r="F23" s="16"/>
    </row>
    <row r="24" spans="1:6" ht="36" x14ac:dyDescent="0.4">
      <c r="A24" s="20" t="s">
        <v>85</v>
      </c>
      <c r="B24" s="19"/>
      <c r="C24" s="16"/>
      <c r="D24" s="19"/>
      <c r="E24" s="19"/>
      <c r="F24" s="21" t="s">
        <v>86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4C55-2245-4D55-8E31-90FC22571C3A}">
  <dimension ref="A1:T69"/>
  <sheetViews>
    <sheetView topLeftCell="A23" zoomScale="85" zoomScaleNormal="85" workbookViewId="0">
      <selection activeCell="C57" sqref="C57:K60"/>
    </sheetView>
  </sheetViews>
  <sheetFormatPr defaultRowHeight="14.5" x14ac:dyDescent="0.35"/>
  <sheetData>
    <row r="1" spans="1:20" ht="16" x14ac:dyDescent="0.4">
      <c r="A1" s="22"/>
      <c r="B1" s="5" t="s">
        <v>2</v>
      </c>
      <c r="C1" s="23" t="s">
        <v>87</v>
      </c>
      <c r="D1" s="24"/>
      <c r="E1" s="24"/>
      <c r="F1" s="24"/>
      <c r="G1" s="24"/>
      <c r="H1" s="24"/>
      <c r="I1" s="24"/>
      <c r="J1" s="24"/>
      <c r="K1" s="24"/>
      <c r="L1" s="25" t="s">
        <v>88</v>
      </c>
      <c r="M1" s="26"/>
    </row>
    <row r="2" spans="1:20" ht="15.5" x14ac:dyDescent="0.35">
      <c r="A2" s="27" t="s">
        <v>89</v>
      </c>
      <c r="B2" s="7" t="s">
        <v>9</v>
      </c>
      <c r="C2" s="28"/>
      <c r="D2" s="29" t="s">
        <v>90</v>
      </c>
      <c r="E2" s="24"/>
      <c r="F2" s="26"/>
      <c r="G2" s="30"/>
      <c r="H2" s="24"/>
      <c r="I2" s="24"/>
      <c r="J2" s="24"/>
      <c r="K2" s="26"/>
      <c r="L2" s="31"/>
      <c r="M2" s="32"/>
    </row>
    <row r="3" spans="1:20" ht="15.5" x14ac:dyDescent="0.35">
      <c r="A3" s="27" t="s">
        <v>91</v>
      </c>
      <c r="B3" s="7" t="s">
        <v>16</v>
      </c>
      <c r="C3" s="28"/>
      <c r="D3" s="29" t="s">
        <v>92</v>
      </c>
      <c r="E3" s="24"/>
      <c r="F3" s="26"/>
      <c r="G3" s="30"/>
      <c r="H3" s="24"/>
      <c r="I3" s="24"/>
      <c r="J3" s="24"/>
      <c r="K3" s="26"/>
      <c r="L3" s="33"/>
      <c r="M3" s="34"/>
    </row>
    <row r="4" spans="1:20" ht="15.5" x14ac:dyDescent="0.35">
      <c r="A4" s="27" t="s">
        <v>93</v>
      </c>
      <c r="B4" s="7" t="s">
        <v>23</v>
      </c>
      <c r="C4" s="28"/>
      <c r="D4" s="29" t="s">
        <v>94</v>
      </c>
      <c r="E4" s="24"/>
      <c r="F4" s="26"/>
      <c r="G4" s="30"/>
      <c r="H4" s="24"/>
      <c r="I4" s="24"/>
      <c r="J4" s="24"/>
      <c r="K4" s="26"/>
      <c r="L4" s="33"/>
      <c r="M4" s="34"/>
    </row>
    <row r="5" spans="1:20" ht="15.5" x14ac:dyDescent="0.35">
      <c r="A5" s="27" t="s">
        <v>95</v>
      </c>
      <c r="B5" s="7" t="s">
        <v>30</v>
      </c>
      <c r="C5" s="28"/>
      <c r="D5" s="30"/>
      <c r="E5" s="24"/>
      <c r="F5" s="26"/>
      <c r="G5" s="30"/>
      <c r="H5" s="24"/>
      <c r="I5" s="24"/>
      <c r="J5" s="24"/>
      <c r="K5" s="26"/>
      <c r="L5" s="33"/>
      <c r="M5" s="34"/>
    </row>
    <row r="6" spans="1:20" ht="15.5" x14ac:dyDescent="0.35">
      <c r="A6" s="27" t="s">
        <v>96</v>
      </c>
      <c r="B6" s="12" t="s">
        <v>59</v>
      </c>
      <c r="C6" s="28"/>
      <c r="D6" s="30"/>
      <c r="E6" s="24"/>
      <c r="F6" s="24"/>
      <c r="G6" s="24"/>
      <c r="H6" s="24"/>
      <c r="I6" s="24"/>
      <c r="J6" s="24"/>
      <c r="K6" s="26"/>
      <c r="L6" s="35"/>
      <c r="M6" s="3"/>
    </row>
    <row r="7" spans="1:20" ht="62" x14ac:dyDescent="0.35">
      <c r="A7" s="36" t="s">
        <v>97</v>
      </c>
      <c r="B7" s="37" t="s">
        <v>98</v>
      </c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spans="1:20" ht="15.5" x14ac:dyDescent="0.35">
      <c r="A8" s="36" t="s">
        <v>99</v>
      </c>
      <c r="B8" s="7"/>
      <c r="C8" s="38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spans="1:20" ht="15.5" x14ac:dyDescent="0.35">
      <c r="A9" s="36" t="s">
        <v>100</v>
      </c>
      <c r="B9" s="7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</row>
    <row r="10" spans="1:20" ht="15.5" x14ac:dyDescent="0.35">
      <c r="A10" s="36" t="s">
        <v>101</v>
      </c>
      <c r="B10" s="7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</row>
    <row r="14" spans="1:20" ht="42.5" x14ac:dyDescent="0.35">
      <c r="A14" s="40">
        <v>0</v>
      </c>
      <c r="B14" s="41" t="s">
        <v>102</v>
      </c>
      <c r="C14" s="41" t="s">
        <v>103</v>
      </c>
      <c r="D14" s="41" t="s">
        <v>89</v>
      </c>
      <c r="E14" s="41" t="s">
        <v>91</v>
      </c>
      <c r="F14" s="41" t="s">
        <v>93</v>
      </c>
      <c r="G14" s="41" t="s">
        <v>95</v>
      </c>
      <c r="H14" s="41" t="s">
        <v>96</v>
      </c>
      <c r="I14" s="41" t="s">
        <v>97</v>
      </c>
      <c r="J14" s="41" t="s">
        <v>99</v>
      </c>
      <c r="K14" s="41" t="s">
        <v>104</v>
      </c>
      <c r="L14" s="42"/>
      <c r="M14" s="43" t="s">
        <v>105</v>
      </c>
      <c r="N14" s="41" t="s">
        <v>106</v>
      </c>
      <c r="O14" s="41" t="s">
        <v>107</v>
      </c>
      <c r="P14" s="44" t="s">
        <v>108</v>
      </c>
      <c r="Q14" s="41" t="s">
        <v>109</v>
      </c>
      <c r="R14" s="41" t="s">
        <v>110</v>
      </c>
      <c r="S14" s="117" t="s">
        <v>111</v>
      </c>
      <c r="T14" s="121" t="s">
        <v>216</v>
      </c>
    </row>
    <row r="15" spans="1:20" ht="84.5" x14ac:dyDescent="0.35">
      <c r="A15" s="40">
        <v>1</v>
      </c>
      <c r="B15" s="28" t="s">
        <v>112</v>
      </c>
      <c r="C15" s="46" t="s">
        <v>113</v>
      </c>
      <c r="D15" s="47"/>
      <c r="E15" s="47"/>
      <c r="F15" s="47"/>
      <c r="G15" s="47"/>
      <c r="H15" s="47"/>
      <c r="I15" s="47"/>
      <c r="J15" s="47"/>
      <c r="K15" s="48"/>
      <c r="L15" s="28"/>
      <c r="M15" s="28"/>
      <c r="N15" s="28"/>
      <c r="O15" s="49" t="s">
        <v>114</v>
      </c>
      <c r="P15" s="28" t="s">
        <v>115</v>
      </c>
      <c r="Q15" s="46"/>
      <c r="R15" s="46">
        <v>65</v>
      </c>
      <c r="S15" s="100"/>
      <c r="T15" s="122">
        <f t="shared" ref="T15:T49" si="0">R15*K15</f>
        <v>0</v>
      </c>
    </row>
    <row r="16" spans="1:20" ht="84.5" x14ac:dyDescent="0.35">
      <c r="A16" s="40">
        <v>2</v>
      </c>
      <c r="B16" s="28" t="s">
        <v>112</v>
      </c>
      <c r="C16" s="46" t="s">
        <v>116</v>
      </c>
      <c r="D16" s="47"/>
      <c r="E16" s="47"/>
      <c r="F16" s="47"/>
      <c r="G16" s="47"/>
      <c r="H16" s="47"/>
      <c r="I16" s="47"/>
      <c r="J16" s="47"/>
      <c r="K16" s="48"/>
      <c r="L16" s="28"/>
      <c r="M16" s="28"/>
      <c r="N16" s="50"/>
      <c r="O16" s="49"/>
      <c r="P16" s="51"/>
      <c r="Q16" s="46"/>
      <c r="R16" s="46">
        <v>50</v>
      </c>
      <c r="S16" s="100"/>
      <c r="T16" s="122">
        <f t="shared" si="0"/>
        <v>0</v>
      </c>
    </row>
    <row r="17" spans="1:20" ht="56.5" x14ac:dyDescent="0.35">
      <c r="A17" s="40">
        <v>3</v>
      </c>
      <c r="B17" s="50" t="s">
        <v>117</v>
      </c>
      <c r="C17" s="52" t="s">
        <v>118</v>
      </c>
      <c r="D17" s="47"/>
      <c r="F17" s="47"/>
      <c r="G17" s="47"/>
      <c r="H17" s="47"/>
      <c r="I17" s="47"/>
      <c r="J17" s="47"/>
      <c r="K17" s="48">
        <f t="shared" ref="K17:K19" si="1">SUM(D17:J17)</f>
        <v>0</v>
      </c>
      <c r="L17" s="28"/>
      <c r="M17" s="28"/>
      <c r="N17" s="28"/>
      <c r="O17" s="53" t="s">
        <v>119</v>
      </c>
      <c r="P17" s="54">
        <v>932223193</v>
      </c>
      <c r="Q17" s="46"/>
      <c r="R17" s="46">
        <v>40</v>
      </c>
      <c r="S17" s="100"/>
      <c r="T17" s="122">
        <f t="shared" si="0"/>
        <v>0</v>
      </c>
    </row>
    <row r="18" spans="1:20" ht="42.5" x14ac:dyDescent="0.35">
      <c r="A18" s="40">
        <v>4</v>
      </c>
      <c r="B18" s="50" t="s">
        <v>120</v>
      </c>
      <c r="C18" s="52" t="s">
        <v>121</v>
      </c>
      <c r="D18" s="47"/>
      <c r="E18" s="47"/>
      <c r="F18" s="47"/>
      <c r="G18" s="47"/>
      <c r="H18" s="47"/>
      <c r="I18" s="47"/>
      <c r="J18" s="47"/>
      <c r="K18" s="48">
        <f t="shared" si="1"/>
        <v>0</v>
      </c>
      <c r="L18" s="28"/>
      <c r="M18" s="28"/>
      <c r="N18" s="28"/>
      <c r="O18" s="53"/>
      <c r="P18" s="50"/>
      <c r="Q18" s="46"/>
      <c r="R18" s="46">
        <v>40</v>
      </c>
      <c r="S18" s="100"/>
      <c r="T18" s="122">
        <f t="shared" si="0"/>
        <v>0</v>
      </c>
    </row>
    <row r="19" spans="1:20" ht="42.5" x14ac:dyDescent="0.35">
      <c r="A19" s="40">
        <v>5</v>
      </c>
      <c r="B19" s="55" t="s">
        <v>122</v>
      </c>
      <c r="C19" s="56"/>
      <c r="D19" s="57"/>
      <c r="E19" s="57"/>
      <c r="F19" s="57"/>
      <c r="G19" s="57"/>
      <c r="H19" s="57"/>
      <c r="I19" s="57"/>
      <c r="J19" s="57"/>
      <c r="K19" s="48">
        <f t="shared" si="1"/>
        <v>0</v>
      </c>
      <c r="L19" s="56"/>
      <c r="M19" s="56"/>
      <c r="N19" s="56"/>
      <c r="O19" s="58"/>
      <c r="P19" s="58"/>
      <c r="Q19" s="56"/>
      <c r="R19" s="56">
        <v>130</v>
      </c>
      <c r="S19" s="118"/>
      <c r="T19" s="122">
        <f t="shared" si="0"/>
        <v>0</v>
      </c>
    </row>
    <row r="20" spans="1:20" ht="70.5" x14ac:dyDescent="0.35">
      <c r="A20" s="40">
        <v>6</v>
      </c>
      <c r="B20" s="28"/>
      <c r="C20" s="46" t="s">
        <v>123</v>
      </c>
      <c r="D20" s="47"/>
      <c r="E20" s="47"/>
      <c r="F20" s="47"/>
      <c r="G20" s="47"/>
      <c r="H20" s="47"/>
      <c r="I20" s="47"/>
      <c r="J20" s="47"/>
      <c r="K20" s="48">
        <v>79</v>
      </c>
      <c r="L20" s="28"/>
      <c r="M20" s="59"/>
      <c r="N20" s="28"/>
      <c r="O20" s="49" t="s">
        <v>124</v>
      </c>
      <c r="P20" s="28"/>
      <c r="Q20" s="46"/>
      <c r="R20" s="46">
        <v>45.817</v>
      </c>
      <c r="S20" s="100"/>
      <c r="T20" s="122">
        <f t="shared" si="0"/>
        <v>3619.5430000000001</v>
      </c>
    </row>
    <row r="21" spans="1:20" ht="56.5" x14ac:dyDescent="0.35">
      <c r="A21" s="40">
        <v>7</v>
      </c>
      <c r="B21" s="28"/>
      <c r="C21" s="46" t="s">
        <v>125</v>
      </c>
      <c r="D21" s="47" t="s">
        <v>126</v>
      </c>
      <c r="E21" s="47"/>
      <c r="F21" s="47"/>
      <c r="G21" s="47"/>
      <c r="H21" s="47"/>
      <c r="I21" s="47"/>
      <c r="J21" s="47"/>
      <c r="K21" s="48"/>
      <c r="L21" s="28"/>
      <c r="M21" s="59"/>
      <c r="N21" s="28" t="s">
        <v>127</v>
      </c>
      <c r="O21" s="60"/>
      <c r="P21" s="60"/>
      <c r="Q21" s="46"/>
      <c r="R21" s="46">
        <v>39</v>
      </c>
      <c r="S21" s="100"/>
      <c r="T21" s="122">
        <f t="shared" si="0"/>
        <v>0</v>
      </c>
    </row>
    <row r="22" spans="1:20" ht="28.5" x14ac:dyDescent="0.35">
      <c r="A22" s="40">
        <v>8</v>
      </c>
      <c r="B22" s="50"/>
      <c r="C22" s="46" t="s">
        <v>128</v>
      </c>
      <c r="D22" s="47"/>
      <c r="E22" s="47"/>
      <c r="F22" s="47"/>
      <c r="G22" s="47"/>
      <c r="H22" s="47"/>
      <c r="I22" s="47"/>
      <c r="J22" s="47"/>
      <c r="K22" s="48">
        <v>95</v>
      </c>
      <c r="L22" s="28"/>
      <c r="M22" s="59"/>
      <c r="N22" s="28"/>
      <c r="O22" s="53"/>
      <c r="P22" s="50"/>
      <c r="Q22" s="46"/>
      <c r="R22" s="46">
        <f>42/1.08</f>
        <v>38.888888888888886</v>
      </c>
      <c r="S22" s="100"/>
      <c r="T22" s="122">
        <f t="shared" si="0"/>
        <v>3694.4444444444443</v>
      </c>
    </row>
    <row r="23" spans="1:20" ht="56.5" x14ac:dyDescent="0.35">
      <c r="A23" s="40">
        <v>9</v>
      </c>
      <c r="B23" s="50"/>
      <c r="C23" s="46" t="s">
        <v>129</v>
      </c>
      <c r="D23" s="47"/>
      <c r="E23" s="47"/>
      <c r="F23" s="47"/>
      <c r="G23" s="47"/>
      <c r="H23" s="47"/>
      <c r="I23" s="47"/>
      <c r="J23" s="47"/>
      <c r="K23" s="48">
        <v>80</v>
      </c>
      <c r="L23" s="28"/>
      <c r="M23" s="59"/>
      <c r="N23" s="28"/>
      <c r="O23" s="53"/>
      <c r="P23" s="50"/>
      <c r="Q23" s="46"/>
      <c r="R23" s="46">
        <f>41.76/1.08</f>
        <v>38.666666666666664</v>
      </c>
      <c r="S23" s="100" t="s">
        <v>130</v>
      </c>
      <c r="T23" s="122">
        <f t="shared" si="0"/>
        <v>3093.333333333333</v>
      </c>
    </row>
    <row r="24" spans="1:20" ht="87" x14ac:dyDescent="0.35">
      <c r="A24" s="40">
        <v>10</v>
      </c>
      <c r="B24" s="50"/>
      <c r="C24" s="61" t="s">
        <v>131</v>
      </c>
      <c r="D24" s="47"/>
      <c r="E24" s="47"/>
      <c r="F24" s="47"/>
      <c r="G24" s="47">
        <v>52</v>
      </c>
      <c r="H24" s="47"/>
      <c r="I24" s="47"/>
      <c r="J24" s="47"/>
      <c r="K24" s="48">
        <v>52</v>
      </c>
      <c r="L24" s="28" t="s">
        <v>132</v>
      </c>
      <c r="M24" s="59"/>
      <c r="N24" s="28" t="s">
        <v>133</v>
      </c>
      <c r="O24" s="53" t="s">
        <v>134</v>
      </c>
      <c r="P24" s="62" t="s">
        <v>135</v>
      </c>
      <c r="Q24" s="46"/>
      <c r="R24" s="46">
        <v>35</v>
      </c>
      <c r="S24" s="100"/>
      <c r="T24" s="122">
        <f t="shared" si="0"/>
        <v>1820</v>
      </c>
    </row>
    <row r="25" spans="1:20" ht="58" x14ac:dyDescent="0.35">
      <c r="A25" s="40">
        <v>11</v>
      </c>
      <c r="B25" s="50"/>
      <c r="C25" s="61" t="s">
        <v>136</v>
      </c>
      <c r="D25" s="47">
        <v>11</v>
      </c>
      <c r="E25" s="47"/>
      <c r="F25" s="47">
        <v>10</v>
      </c>
      <c r="G25" s="47"/>
      <c r="H25" s="47"/>
      <c r="I25" s="47"/>
      <c r="J25" s="47"/>
      <c r="K25" s="48">
        <f>SUM(D25:H25)</f>
        <v>21</v>
      </c>
      <c r="L25" s="28" t="s">
        <v>132</v>
      </c>
      <c r="M25" s="63"/>
      <c r="N25" s="28"/>
      <c r="O25" s="53" t="s">
        <v>137</v>
      </c>
      <c r="P25" s="50" t="s">
        <v>138</v>
      </c>
      <c r="Q25" s="46"/>
      <c r="R25" s="46">
        <v>35</v>
      </c>
      <c r="S25" s="100"/>
      <c r="T25" s="122">
        <f t="shared" si="0"/>
        <v>735</v>
      </c>
    </row>
    <row r="26" spans="1:20" ht="112.5" x14ac:dyDescent="0.35">
      <c r="A26" s="40">
        <v>13</v>
      </c>
      <c r="B26" s="64"/>
      <c r="C26" s="46" t="s">
        <v>139</v>
      </c>
      <c r="D26" s="47"/>
      <c r="E26" s="47">
        <v>24</v>
      </c>
      <c r="F26" s="47">
        <v>12</v>
      </c>
      <c r="G26" s="47"/>
      <c r="H26" s="47"/>
      <c r="I26" s="47"/>
      <c r="J26" s="47"/>
      <c r="K26" s="48">
        <v>24</v>
      </c>
      <c r="L26" s="28" t="s">
        <v>132</v>
      </c>
      <c r="M26" s="65"/>
      <c r="N26" s="63" t="s">
        <v>140</v>
      </c>
      <c r="O26" s="66" t="s">
        <v>141</v>
      </c>
      <c r="P26" s="46" t="s">
        <v>142</v>
      </c>
      <c r="Q26" s="46"/>
      <c r="R26" s="46">
        <v>50</v>
      </c>
      <c r="S26" s="100"/>
      <c r="T26" s="122">
        <f t="shared" si="0"/>
        <v>1200</v>
      </c>
    </row>
    <row r="27" spans="1:20" ht="112.5" x14ac:dyDescent="0.35">
      <c r="A27" s="40">
        <v>14</v>
      </c>
      <c r="B27" s="28"/>
      <c r="C27" s="61" t="s">
        <v>143</v>
      </c>
      <c r="D27" s="47"/>
      <c r="E27" s="47">
        <v>33</v>
      </c>
      <c r="F27" s="47"/>
      <c r="G27" s="47">
        <v>25</v>
      </c>
      <c r="H27" s="47">
        <v>5</v>
      </c>
      <c r="I27" s="47"/>
      <c r="J27" s="47"/>
      <c r="K27" s="48">
        <v>38</v>
      </c>
      <c r="L27" s="28" t="s">
        <v>132</v>
      </c>
      <c r="M27" s="7" t="s">
        <v>144</v>
      </c>
      <c r="N27" s="28" t="s">
        <v>145</v>
      </c>
      <c r="O27" s="66" t="s">
        <v>146</v>
      </c>
      <c r="P27" s="46" t="s">
        <v>147</v>
      </c>
      <c r="Q27" s="46"/>
      <c r="R27" s="46">
        <v>60</v>
      </c>
      <c r="S27" s="100"/>
      <c r="T27" s="122">
        <f t="shared" si="0"/>
        <v>2280</v>
      </c>
    </row>
    <row r="28" spans="1:20" ht="28.5" x14ac:dyDescent="0.35">
      <c r="A28" s="40">
        <v>15</v>
      </c>
      <c r="B28" s="28"/>
      <c r="C28" s="61" t="s">
        <v>148</v>
      </c>
      <c r="D28" s="47"/>
      <c r="E28" s="47"/>
      <c r="F28" s="47"/>
      <c r="G28" s="47">
        <v>31</v>
      </c>
      <c r="H28" s="47"/>
      <c r="I28" s="47"/>
      <c r="J28" s="47"/>
      <c r="K28" s="48">
        <v>31</v>
      </c>
      <c r="L28" s="28" t="s">
        <v>132</v>
      </c>
      <c r="M28" s="28"/>
      <c r="N28" s="28"/>
      <c r="O28" s="49"/>
      <c r="P28" s="51"/>
      <c r="Q28" s="46"/>
      <c r="R28" s="46">
        <v>40</v>
      </c>
      <c r="S28" s="100"/>
      <c r="T28" s="122">
        <f t="shared" si="0"/>
        <v>1240</v>
      </c>
    </row>
    <row r="29" spans="1:20" ht="116" x14ac:dyDescent="0.35">
      <c r="A29" s="40">
        <v>16</v>
      </c>
      <c r="B29" s="28"/>
      <c r="C29" s="46" t="s">
        <v>149</v>
      </c>
      <c r="D29" s="47">
        <v>11</v>
      </c>
      <c r="E29" s="47">
        <v>5</v>
      </c>
      <c r="F29" s="47">
        <v>3</v>
      </c>
      <c r="G29" s="47">
        <v>11</v>
      </c>
      <c r="H29" s="47"/>
      <c r="I29" s="47"/>
      <c r="J29" s="47"/>
      <c r="K29" s="48">
        <f t="shared" ref="K29:K31" si="2">SUM(D29:H29)</f>
        <v>30</v>
      </c>
      <c r="L29" s="28" t="s">
        <v>132</v>
      </c>
      <c r="M29" s="67"/>
      <c r="N29" s="28"/>
      <c r="O29" s="68" t="s">
        <v>150</v>
      </c>
      <c r="P29" s="69" t="s">
        <v>151</v>
      </c>
      <c r="Q29" s="46"/>
      <c r="R29" s="46">
        <v>40</v>
      </c>
      <c r="S29" s="100"/>
      <c r="T29" s="122">
        <f t="shared" si="0"/>
        <v>1200</v>
      </c>
    </row>
    <row r="30" spans="1:20" ht="28.5" x14ac:dyDescent="0.35">
      <c r="A30" s="40">
        <v>17</v>
      </c>
      <c r="B30" s="28"/>
      <c r="C30" s="46" t="s">
        <v>152</v>
      </c>
      <c r="D30" s="47" t="s">
        <v>126</v>
      </c>
      <c r="E30" s="47"/>
      <c r="F30" s="47"/>
      <c r="G30" s="47"/>
      <c r="H30" s="47"/>
      <c r="I30" s="47"/>
      <c r="J30" s="47"/>
      <c r="K30" s="48">
        <f t="shared" si="2"/>
        <v>0</v>
      </c>
      <c r="L30" s="28"/>
      <c r="M30" s="28"/>
      <c r="N30" s="46" t="s">
        <v>153</v>
      </c>
      <c r="O30" s="68"/>
      <c r="P30" s="51"/>
      <c r="Q30" s="46"/>
      <c r="R30" s="46">
        <v>45</v>
      </c>
      <c r="S30" s="119">
        <v>45</v>
      </c>
      <c r="T30" s="122">
        <f t="shared" si="0"/>
        <v>0</v>
      </c>
    </row>
    <row r="31" spans="1:20" ht="84.5" x14ac:dyDescent="0.35">
      <c r="A31" s="40">
        <v>18</v>
      </c>
      <c r="B31" s="28"/>
      <c r="C31" s="61" t="s">
        <v>154</v>
      </c>
      <c r="D31" s="47">
        <v>6</v>
      </c>
      <c r="E31" s="54"/>
      <c r="F31" s="47">
        <v>3</v>
      </c>
      <c r="G31" s="47">
        <v>3</v>
      </c>
      <c r="H31" s="47"/>
      <c r="I31" s="47"/>
      <c r="J31" s="47"/>
      <c r="K31" s="48">
        <f t="shared" si="2"/>
        <v>12</v>
      </c>
      <c r="L31" s="28" t="s">
        <v>132</v>
      </c>
      <c r="M31" s="28"/>
      <c r="N31" s="28"/>
      <c r="O31" s="71" t="s">
        <v>155</v>
      </c>
      <c r="P31" s="72" t="s">
        <v>156</v>
      </c>
      <c r="Q31" s="46"/>
      <c r="R31" s="46">
        <v>40</v>
      </c>
      <c r="S31" s="100"/>
      <c r="T31" s="122">
        <f t="shared" si="0"/>
        <v>480</v>
      </c>
    </row>
    <row r="32" spans="1:20" ht="28.5" x14ac:dyDescent="0.35">
      <c r="A32" s="40">
        <v>19</v>
      </c>
      <c r="B32" s="28"/>
      <c r="C32" s="46" t="s">
        <v>157</v>
      </c>
      <c r="D32" s="47"/>
      <c r="E32" s="47"/>
      <c r="F32" s="47"/>
      <c r="G32" s="47"/>
      <c r="H32" s="47"/>
      <c r="I32" s="47"/>
      <c r="J32" s="47"/>
      <c r="K32" s="48"/>
      <c r="L32" s="28"/>
      <c r="M32" s="67"/>
      <c r="N32" s="50"/>
      <c r="O32" s="60"/>
      <c r="P32" s="28"/>
      <c r="Q32" s="46"/>
      <c r="R32" s="46">
        <v>50</v>
      </c>
      <c r="S32" s="100"/>
      <c r="T32" s="122">
        <f t="shared" si="0"/>
        <v>0</v>
      </c>
    </row>
    <row r="33" spans="1:20" ht="84.5" x14ac:dyDescent="0.35">
      <c r="A33" s="40">
        <v>20</v>
      </c>
      <c r="B33" s="28"/>
      <c r="C33" s="46" t="s">
        <v>158</v>
      </c>
      <c r="D33" s="47" t="s">
        <v>159</v>
      </c>
      <c r="E33" s="47"/>
      <c r="F33" s="47"/>
      <c r="G33" s="47"/>
      <c r="H33" s="47"/>
      <c r="I33" s="47"/>
      <c r="J33" s="47"/>
      <c r="K33" s="48">
        <f>SUM(D33:H33)</f>
        <v>0</v>
      </c>
      <c r="L33" s="28"/>
      <c r="M33" s="73"/>
      <c r="N33" s="74"/>
      <c r="O33" s="66" t="s">
        <v>160</v>
      </c>
      <c r="P33" s="75">
        <v>369680991</v>
      </c>
      <c r="Q33" s="46"/>
      <c r="R33" s="46">
        <v>40</v>
      </c>
      <c r="S33" s="100"/>
      <c r="T33" s="122">
        <f t="shared" si="0"/>
        <v>0</v>
      </c>
    </row>
    <row r="34" spans="1:20" ht="126.5" x14ac:dyDescent="0.35">
      <c r="A34" s="40">
        <v>21</v>
      </c>
      <c r="B34" s="64" t="s">
        <v>161</v>
      </c>
      <c r="C34" s="46" t="s">
        <v>162</v>
      </c>
      <c r="D34" s="47"/>
      <c r="E34" s="47">
        <v>2</v>
      </c>
      <c r="F34" s="47">
        <v>4</v>
      </c>
      <c r="G34" s="47"/>
      <c r="H34" s="47">
        <v>1</v>
      </c>
      <c r="I34" s="47"/>
      <c r="J34" s="47"/>
      <c r="K34" s="48">
        <f>SUM(D34:J34)</f>
        <v>7</v>
      </c>
      <c r="L34" s="28" t="s">
        <v>132</v>
      </c>
      <c r="M34" s="76"/>
      <c r="N34" s="74" t="s">
        <v>163</v>
      </c>
      <c r="O34" s="60"/>
      <c r="P34" s="72" t="s">
        <v>164</v>
      </c>
      <c r="Q34" s="74" t="s">
        <v>165</v>
      </c>
      <c r="R34" s="74">
        <v>48</v>
      </c>
      <c r="S34" s="120">
        <v>30</v>
      </c>
      <c r="T34" s="122">
        <f t="shared" si="0"/>
        <v>336</v>
      </c>
    </row>
    <row r="35" spans="1:20" ht="84.5" x14ac:dyDescent="0.35">
      <c r="A35" s="40">
        <v>22</v>
      </c>
      <c r="B35" s="28"/>
      <c r="C35" s="61" t="s">
        <v>166</v>
      </c>
      <c r="D35" s="47"/>
      <c r="E35" s="47"/>
      <c r="F35" s="47"/>
      <c r="G35" s="47"/>
      <c r="H35" s="47"/>
      <c r="I35" s="47"/>
      <c r="J35" s="47"/>
      <c r="K35" s="48">
        <v>27</v>
      </c>
      <c r="L35" s="63" t="s">
        <v>132</v>
      </c>
      <c r="M35" s="37" t="s">
        <v>98</v>
      </c>
      <c r="N35" s="77" t="s">
        <v>167</v>
      </c>
      <c r="O35" s="66" t="s">
        <v>168</v>
      </c>
      <c r="P35" s="28"/>
      <c r="Q35" s="46"/>
      <c r="R35" s="46">
        <v>47</v>
      </c>
      <c r="S35" s="100"/>
      <c r="T35" s="122">
        <f t="shared" si="0"/>
        <v>1269</v>
      </c>
    </row>
    <row r="36" spans="1:20" ht="29" x14ac:dyDescent="0.35">
      <c r="A36" s="40">
        <v>23</v>
      </c>
      <c r="B36" s="28"/>
      <c r="C36" s="46" t="s">
        <v>169</v>
      </c>
      <c r="D36" s="78" t="s">
        <v>126</v>
      </c>
      <c r="E36" s="47"/>
      <c r="F36" s="47"/>
      <c r="G36" s="47"/>
      <c r="H36" s="47"/>
      <c r="I36" s="47"/>
      <c r="J36" s="47"/>
      <c r="K36" s="48"/>
      <c r="L36" s="28"/>
      <c r="M36" s="79"/>
      <c r="N36" s="28" t="s">
        <v>170</v>
      </c>
      <c r="O36" s="60"/>
      <c r="P36" s="49"/>
      <c r="Q36" s="46"/>
      <c r="R36" s="46">
        <v>60</v>
      </c>
      <c r="S36" s="100"/>
      <c r="T36" s="122">
        <f t="shared" si="0"/>
        <v>0</v>
      </c>
    </row>
    <row r="37" spans="1:20" ht="203" x14ac:dyDescent="0.35">
      <c r="A37" s="40">
        <v>24</v>
      </c>
      <c r="B37" s="28"/>
      <c r="C37" s="61" t="s">
        <v>171</v>
      </c>
      <c r="D37" s="47"/>
      <c r="E37" s="47">
        <v>31</v>
      </c>
      <c r="F37" s="47"/>
      <c r="G37" s="47"/>
      <c r="H37" s="47">
        <v>1</v>
      </c>
      <c r="I37" s="47"/>
      <c r="J37" s="47"/>
      <c r="K37" s="48">
        <f t="shared" ref="K37:K40" si="3">SUM(D37:J37)</f>
        <v>32</v>
      </c>
      <c r="L37" s="28" t="s">
        <v>132</v>
      </c>
      <c r="M37" s="28"/>
      <c r="N37" s="46" t="s">
        <v>172</v>
      </c>
      <c r="O37" s="68" t="s">
        <v>173</v>
      </c>
      <c r="P37" s="69" t="s">
        <v>174</v>
      </c>
      <c r="Q37" s="46"/>
      <c r="R37" s="46">
        <v>45</v>
      </c>
      <c r="S37" s="100"/>
      <c r="T37" s="122">
        <f t="shared" si="0"/>
        <v>1440</v>
      </c>
    </row>
    <row r="38" spans="1:20" ht="28.5" x14ac:dyDescent="0.35">
      <c r="A38" s="40">
        <v>25</v>
      </c>
      <c r="B38" s="28"/>
      <c r="C38" s="46" t="s">
        <v>175</v>
      </c>
      <c r="D38" s="47">
        <v>3</v>
      </c>
      <c r="E38" s="47"/>
      <c r="F38" s="47">
        <v>6</v>
      </c>
      <c r="G38" s="47"/>
      <c r="H38" s="47">
        <v>1</v>
      </c>
      <c r="I38" s="47"/>
      <c r="J38" s="47"/>
      <c r="K38" s="48">
        <f t="shared" si="3"/>
        <v>10</v>
      </c>
      <c r="L38" s="28" t="s">
        <v>132</v>
      </c>
      <c r="M38" s="28"/>
      <c r="N38" s="28"/>
      <c r="O38" s="60"/>
      <c r="P38" s="60"/>
      <c r="Q38" s="46"/>
      <c r="R38" s="46">
        <v>40</v>
      </c>
      <c r="S38" s="100"/>
      <c r="T38" s="122">
        <f t="shared" si="0"/>
        <v>400</v>
      </c>
    </row>
    <row r="39" spans="1:20" ht="56.5" x14ac:dyDescent="0.35">
      <c r="A39" s="40">
        <v>26</v>
      </c>
      <c r="B39" s="28"/>
      <c r="C39" s="46" t="s">
        <v>176</v>
      </c>
      <c r="D39" s="47">
        <v>4</v>
      </c>
      <c r="E39" s="47">
        <v>2</v>
      </c>
      <c r="F39" s="47">
        <v>1</v>
      </c>
      <c r="G39" s="47">
        <v>2</v>
      </c>
      <c r="H39" s="47">
        <v>1</v>
      </c>
      <c r="I39" s="47"/>
      <c r="J39" s="47"/>
      <c r="K39" s="48">
        <f t="shared" si="3"/>
        <v>10</v>
      </c>
      <c r="L39" s="28" t="s">
        <v>132</v>
      </c>
      <c r="M39" s="28"/>
      <c r="N39" s="28"/>
      <c r="O39" s="80"/>
      <c r="P39" s="28"/>
      <c r="Q39" s="46"/>
      <c r="R39" s="46">
        <v>40</v>
      </c>
      <c r="S39" s="100"/>
      <c r="T39" s="122">
        <f t="shared" si="0"/>
        <v>400</v>
      </c>
    </row>
    <row r="40" spans="1:20" ht="98.5" x14ac:dyDescent="0.35">
      <c r="A40" s="40">
        <v>27</v>
      </c>
      <c r="B40" s="28"/>
      <c r="C40" s="61" t="s">
        <v>177</v>
      </c>
      <c r="D40" s="47">
        <v>24</v>
      </c>
      <c r="E40" s="47"/>
      <c r="F40" s="47"/>
      <c r="G40" s="47">
        <v>18</v>
      </c>
      <c r="H40" s="47"/>
      <c r="I40" s="47"/>
      <c r="J40" s="47"/>
      <c r="K40" s="48">
        <f t="shared" si="3"/>
        <v>42</v>
      </c>
      <c r="L40" s="28" t="s">
        <v>132</v>
      </c>
      <c r="M40" s="65"/>
      <c r="N40" s="28"/>
      <c r="O40" s="66" t="s">
        <v>178</v>
      </c>
      <c r="P40" s="28"/>
      <c r="Q40" s="46"/>
      <c r="R40" s="46">
        <v>30</v>
      </c>
      <c r="S40" s="100"/>
      <c r="T40" s="122">
        <f t="shared" si="0"/>
        <v>1260</v>
      </c>
    </row>
    <row r="41" spans="1:20" ht="112.5" x14ac:dyDescent="0.35">
      <c r="A41" s="40">
        <v>28</v>
      </c>
      <c r="B41" s="28"/>
      <c r="C41" s="46" t="s">
        <v>179</v>
      </c>
      <c r="D41" s="47">
        <v>4</v>
      </c>
      <c r="E41" s="47">
        <v>4</v>
      </c>
      <c r="F41" s="47">
        <v>4</v>
      </c>
      <c r="G41" s="47">
        <v>4</v>
      </c>
      <c r="H41" s="47"/>
      <c r="I41" s="47"/>
      <c r="J41" s="47"/>
      <c r="K41" s="48">
        <v>8</v>
      </c>
      <c r="L41" s="28" t="s">
        <v>132</v>
      </c>
      <c r="M41" s="28" t="s">
        <v>180</v>
      </c>
      <c r="N41" s="28"/>
      <c r="O41" s="60" t="s">
        <v>181</v>
      </c>
      <c r="P41" s="81" t="s">
        <v>182</v>
      </c>
      <c r="Q41" s="46"/>
      <c r="R41" s="46">
        <v>50</v>
      </c>
      <c r="S41" s="100"/>
      <c r="T41" s="122">
        <f t="shared" si="0"/>
        <v>400</v>
      </c>
    </row>
    <row r="42" spans="1:20" ht="87" x14ac:dyDescent="0.35">
      <c r="A42" s="40">
        <v>29</v>
      </c>
      <c r="B42" s="28"/>
      <c r="C42" s="61" t="s">
        <v>183</v>
      </c>
      <c r="D42" s="47"/>
      <c r="E42" s="47"/>
      <c r="F42" s="47">
        <v>50</v>
      </c>
      <c r="G42" s="47"/>
      <c r="H42" s="47">
        <v>1</v>
      </c>
      <c r="I42" s="47"/>
      <c r="J42" s="47"/>
      <c r="K42" s="48">
        <v>51</v>
      </c>
      <c r="L42" s="28" t="s">
        <v>132</v>
      </c>
      <c r="M42" s="64"/>
      <c r="N42" s="28" t="s">
        <v>184</v>
      </c>
      <c r="O42" s="60" t="s">
        <v>185</v>
      </c>
      <c r="P42" s="49" t="s">
        <v>186</v>
      </c>
      <c r="Q42" s="46"/>
      <c r="R42" s="46">
        <v>40</v>
      </c>
      <c r="S42" s="100"/>
      <c r="T42" s="122">
        <f t="shared" si="0"/>
        <v>2040</v>
      </c>
    </row>
    <row r="43" spans="1:20" ht="42.5" x14ac:dyDescent="0.35">
      <c r="A43" s="40">
        <v>30</v>
      </c>
      <c r="B43" s="28"/>
      <c r="C43" s="46" t="s">
        <v>187</v>
      </c>
      <c r="D43" s="47">
        <v>3</v>
      </c>
      <c r="E43" s="47">
        <v>2</v>
      </c>
      <c r="F43" s="47">
        <v>2</v>
      </c>
      <c r="G43" s="47"/>
      <c r="H43" s="47"/>
      <c r="I43" s="47"/>
      <c r="J43" s="47"/>
      <c r="K43" s="48">
        <f>SUM(D43:J43)</f>
        <v>7</v>
      </c>
      <c r="L43" s="28" t="s">
        <v>132</v>
      </c>
      <c r="M43" s="28"/>
      <c r="N43" s="28"/>
      <c r="O43" s="80"/>
      <c r="P43" s="28"/>
      <c r="Q43" s="46"/>
      <c r="R43" s="46">
        <v>30</v>
      </c>
      <c r="S43" s="100"/>
      <c r="T43" s="122">
        <f t="shared" si="0"/>
        <v>210</v>
      </c>
    </row>
    <row r="44" spans="1:20" ht="28.5" x14ac:dyDescent="0.35">
      <c r="A44" s="40">
        <v>31</v>
      </c>
      <c r="B44" s="28"/>
      <c r="C44" s="46" t="s">
        <v>188</v>
      </c>
      <c r="D44" s="47"/>
      <c r="E44" s="47"/>
      <c r="F44" s="47">
        <v>1</v>
      </c>
      <c r="G44" s="47"/>
      <c r="H44" s="47"/>
      <c r="I44" s="47"/>
      <c r="J44" s="47"/>
      <c r="K44" s="48">
        <v>1</v>
      </c>
      <c r="L44" s="28"/>
      <c r="M44" s="28"/>
      <c r="N44" s="28"/>
      <c r="O44" s="80"/>
      <c r="P44" s="28"/>
      <c r="Q44" s="46"/>
      <c r="R44" s="46">
        <v>30</v>
      </c>
      <c r="S44" s="100"/>
      <c r="T44" s="122">
        <f t="shared" si="0"/>
        <v>30</v>
      </c>
    </row>
    <row r="45" spans="1:20" ht="56.5" x14ac:dyDescent="0.35">
      <c r="A45" s="40">
        <v>32</v>
      </c>
      <c r="B45" s="28"/>
      <c r="C45" s="46" t="s">
        <v>189</v>
      </c>
      <c r="D45" s="47"/>
      <c r="E45" s="47"/>
      <c r="F45" s="47"/>
      <c r="G45" s="47"/>
      <c r="H45" s="47"/>
      <c r="I45" s="47"/>
      <c r="J45" s="47"/>
      <c r="K45" s="48">
        <f>SUM(D45:J45)</f>
        <v>0</v>
      </c>
      <c r="L45" s="28"/>
      <c r="M45" s="28"/>
      <c r="N45" s="74" t="s">
        <v>190</v>
      </c>
      <c r="O45" s="80"/>
      <c r="P45" s="28"/>
      <c r="Q45" s="46"/>
      <c r="R45" s="46">
        <v>35</v>
      </c>
      <c r="S45" s="100"/>
      <c r="T45" s="122">
        <f t="shared" si="0"/>
        <v>0</v>
      </c>
    </row>
    <row r="46" spans="1:20" ht="28.5" x14ac:dyDescent="0.35">
      <c r="A46" s="40">
        <v>33</v>
      </c>
      <c r="B46" s="28"/>
      <c r="C46" s="46" t="s">
        <v>191</v>
      </c>
      <c r="D46" s="47"/>
      <c r="E46" s="47"/>
      <c r="F46" s="47"/>
      <c r="G46" s="47"/>
      <c r="H46" s="47"/>
      <c r="I46" s="47"/>
      <c r="J46" s="47"/>
      <c r="K46" s="48"/>
      <c r="L46" s="28"/>
      <c r="M46" s="28"/>
      <c r="N46" s="28"/>
      <c r="O46" s="60"/>
      <c r="P46" s="60"/>
      <c r="Q46" s="46"/>
      <c r="R46" s="46">
        <v>30</v>
      </c>
      <c r="S46" s="100"/>
      <c r="T46" s="122">
        <f t="shared" si="0"/>
        <v>0</v>
      </c>
    </row>
    <row r="47" spans="1:20" ht="56.5" x14ac:dyDescent="0.35">
      <c r="A47" s="40">
        <v>34</v>
      </c>
      <c r="B47" s="28"/>
      <c r="C47" s="46" t="s">
        <v>192</v>
      </c>
      <c r="D47" s="47"/>
      <c r="E47" s="47"/>
      <c r="F47" s="47"/>
      <c r="G47" s="47"/>
      <c r="H47" s="47"/>
      <c r="J47" s="47"/>
      <c r="K47" s="48"/>
      <c r="L47" s="28"/>
      <c r="M47" s="28"/>
      <c r="N47" s="28"/>
      <c r="O47" s="60"/>
      <c r="P47" s="60"/>
      <c r="Q47" s="46"/>
      <c r="R47" s="46">
        <v>50</v>
      </c>
      <c r="S47" s="100"/>
      <c r="T47" s="122">
        <f t="shared" si="0"/>
        <v>0</v>
      </c>
    </row>
    <row r="48" spans="1:20" ht="42.5" x14ac:dyDescent="0.35">
      <c r="A48" s="40">
        <v>35</v>
      </c>
      <c r="B48" s="28"/>
      <c r="C48" s="46" t="s">
        <v>193</v>
      </c>
      <c r="D48" s="47">
        <v>4</v>
      </c>
      <c r="E48" s="47">
        <v>3</v>
      </c>
      <c r="F48" s="47">
        <v>1</v>
      </c>
      <c r="G48" s="47">
        <v>2</v>
      </c>
      <c r="H48" s="47"/>
      <c r="I48" s="47"/>
      <c r="J48" s="47"/>
      <c r="K48" s="48">
        <f>SUM(D48:H48)</f>
        <v>10</v>
      </c>
      <c r="L48" s="28" t="s">
        <v>132</v>
      </c>
      <c r="M48" s="28"/>
      <c r="N48" s="28" t="s">
        <v>194</v>
      </c>
      <c r="O48" s="60"/>
      <c r="P48" s="60"/>
      <c r="Q48" s="46"/>
      <c r="R48" s="46">
        <v>40</v>
      </c>
      <c r="S48" s="100"/>
      <c r="T48" s="122">
        <f t="shared" si="0"/>
        <v>400</v>
      </c>
    </row>
    <row r="49" spans="1:20" ht="28.5" x14ac:dyDescent="0.35">
      <c r="A49" s="40">
        <v>36</v>
      </c>
      <c r="B49" s="28"/>
      <c r="C49" s="46" t="s">
        <v>195</v>
      </c>
      <c r="D49" s="47"/>
      <c r="E49" s="47">
        <v>4</v>
      </c>
      <c r="F49" s="47">
        <v>1</v>
      </c>
      <c r="G49" s="47"/>
      <c r="H49" s="47"/>
      <c r="I49" s="47"/>
      <c r="J49" s="47"/>
      <c r="K49" s="48">
        <f t="shared" ref="K49:K56" si="4">SUM(D49:J49)</f>
        <v>5</v>
      </c>
      <c r="L49" s="28"/>
      <c r="M49" s="28"/>
      <c r="N49" s="28"/>
      <c r="O49" s="60"/>
      <c r="P49" s="60"/>
      <c r="Q49" s="46"/>
      <c r="R49" s="46">
        <v>40</v>
      </c>
      <c r="S49" s="100"/>
      <c r="T49" s="122">
        <f t="shared" si="0"/>
        <v>200</v>
      </c>
    </row>
    <row r="50" spans="1:20" ht="28.5" x14ac:dyDescent="0.35">
      <c r="A50" s="40">
        <v>37</v>
      </c>
      <c r="B50" s="28"/>
      <c r="C50" s="46" t="s">
        <v>196</v>
      </c>
      <c r="D50" s="47"/>
      <c r="E50" s="47"/>
      <c r="F50" s="47"/>
      <c r="G50" s="47"/>
      <c r="H50" s="47"/>
      <c r="I50" s="47"/>
      <c r="J50" s="47"/>
      <c r="K50" s="48">
        <f t="shared" si="4"/>
        <v>0</v>
      </c>
      <c r="L50" s="28"/>
      <c r="M50" s="64"/>
      <c r="N50" s="28"/>
      <c r="O50" s="60"/>
      <c r="P50" s="49"/>
      <c r="Q50" s="46"/>
      <c r="R50" s="46">
        <v>35</v>
      </c>
      <c r="S50" s="100"/>
      <c r="T50" s="122"/>
    </row>
    <row r="51" spans="1:20" ht="70.5" x14ac:dyDescent="0.35">
      <c r="A51" s="40">
        <v>38</v>
      </c>
      <c r="B51" s="28"/>
      <c r="C51" s="46" t="s">
        <v>197</v>
      </c>
      <c r="D51" s="47"/>
      <c r="E51" s="47"/>
      <c r="F51" s="47"/>
      <c r="G51" s="47"/>
      <c r="H51" s="47"/>
      <c r="I51" s="47"/>
      <c r="J51" s="47"/>
      <c r="K51" s="48">
        <f t="shared" si="4"/>
        <v>0</v>
      </c>
      <c r="L51" s="28"/>
      <c r="M51" s="64"/>
      <c r="N51" s="28"/>
      <c r="O51" s="60"/>
      <c r="P51" s="49" t="s">
        <v>198</v>
      </c>
      <c r="Q51" s="46"/>
      <c r="R51" s="46">
        <v>30</v>
      </c>
      <c r="S51" s="100"/>
      <c r="T51" s="122">
        <f t="shared" ref="T51:T69" si="5">R51*K51</f>
        <v>0</v>
      </c>
    </row>
    <row r="52" spans="1:20" x14ac:dyDescent="0.35">
      <c r="A52" s="40">
        <v>39</v>
      </c>
      <c r="B52" s="55"/>
      <c r="C52" s="56" t="s">
        <v>199</v>
      </c>
      <c r="D52" s="57">
        <v>1</v>
      </c>
      <c r="E52" s="57">
        <v>1</v>
      </c>
      <c r="F52" s="57">
        <v>1</v>
      </c>
      <c r="G52" s="57">
        <v>1</v>
      </c>
      <c r="H52" s="57"/>
      <c r="I52" s="57"/>
      <c r="J52" s="57"/>
      <c r="K52" s="48">
        <f t="shared" si="4"/>
        <v>4</v>
      </c>
      <c r="L52" s="56"/>
      <c r="M52" s="56"/>
      <c r="N52" s="56"/>
      <c r="O52" s="58"/>
      <c r="P52" s="58"/>
      <c r="Q52" s="56"/>
      <c r="R52" s="46">
        <v>45</v>
      </c>
      <c r="S52" s="118"/>
      <c r="T52" s="122">
        <f t="shared" si="5"/>
        <v>180</v>
      </c>
    </row>
    <row r="53" spans="1:20" ht="70.5" x14ac:dyDescent="0.35">
      <c r="A53" s="40">
        <v>40</v>
      </c>
      <c r="B53" s="28"/>
      <c r="C53" s="46" t="s">
        <v>200</v>
      </c>
      <c r="D53" s="47"/>
      <c r="E53" s="47"/>
      <c r="F53" s="47"/>
      <c r="G53" s="47">
        <v>3</v>
      </c>
      <c r="H53" s="47"/>
      <c r="I53" s="47"/>
      <c r="J53" s="47"/>
      <c r="K53" s="48">
        <f t="shared" si="4"/>
        <v>3</v>
      </c>
      <c r="L53" s="28" t="s">
        <v>132</v>
      </c>
      <c r="M53" s="82"/>
      <c r="N53" s="28"/>
      <c r="O53" s="60"/>
      <c r="P53" s="28"/>
      <c r="Q53" s="46" t="s">
        <v>201</v>
      </c>
      <c r="R53" s="46">
        <v>45</v>
      </c>
      <c r="S53" s="100">
        <v>40</v>
      </c>
      <c r="T53" s="122">
        <f t="shared" si="5"/>
        <v>135</v>
      </c>
    </row>
    <row r="54" spans="1:20" ht="70.5" x14ac:dyDescent="0.35">
      <c r="A54" s="40">
        <v>41</v>
      </c>
      <c r="B54" s="28"/>
      <c r="C54" s="46" t="s">
        <v>202</v>
      </c>
      <c r="D54" s="47"/>
      <c r="E54" s="47"/>
      <c r="F54" s="47"/>
      <c r="G54" s="47"/>
      <c r="H54" s="47"/>
      <c r="I54" s="47"/>
      <c r="J54" s="47"/>
      <c r="K54" s="48">
        <f t="shared" si="4"/>
        <v>0</v>
      </c>
      <c r="L54" s="28"/>
      <c r="M54" s="82"/>
      <c r="N54" s="28"/>
      <c r="O54" s="60"/>
      <c r="P54" s="28"/>
      <c r="Q54" s="46" t="s">
        <v>165</v>
      </c>
      <c r="R54" s="46">
        <v>40</v>
      </c>
      <c r="S54" s="100"/>
      <c r="T54" s="122">
        <f t="shared" si="5"/>
        <v>0</v>
      </c>
    </row>
    <row r="55" spans="1:20" ht="56.5" x14ac:dyDescent="0.35">
      <c r="A55" s="40">
        <v>42</v>
      </c>
      <c r="B55" s="28"/>
      <c r="C55" s="46" t="s">
        <v>203</v>
      </c>
      <c r="D55" s="47"/>
      <c r="E55" s="47"/>
      <c r="F55" s="47"/>
      <c r="G55" s="47"/>
      <c r="H55" s="47"/>
      <c r="I55" s="47"/>
      <c r="J55" s="47"/>
      <c r="K55" s="48">
        <f t="shared" si="4"/>
        <v>0</v>
      </c>
      <c r="L55" s="28"/>
      <c r="M55" s="82"/>
      <c r="N55" s="28"/>
      <c r="O55" s="60"/>
      <c r="P55" s="60"/>
      <c r="Q55" s="46" t="s">
        <v>165</v>
      </c>
      <c r="R55" s="46">
        <v>40</v>
      </c>
      <c r="S55" s="100"/>
      <c r="T55" s="122">
        <f t="shared" si="5"/>
        <v>0</v>
      </c>
    </row>
    <row r="56" spans="1:20" ht="56.5" x14ac:dyDescent="0.35">
      <c r="A56" s="40">
        <v>43</v>
      </c>
      <c r="B56" s="28"/>
      <c r="C56" s="46" t="s">
        <v>204</v>
      </c>
      <c r="D56" s="47">
        <v>19</v>
      </c>
      <c r="E56" s="47">
        <v>10</v>
      </c>
      <c r="F56" s="47">
        <v>19</v>
      </c>
      <c r="G56" s="47">
        <v>16</v>
      </c>
      <c r="H56" s="47"/>
      <c r="I56" s="47"/>
      <c r="J56" s="47">
        <v>9</v>
      </c>
      <c r="K56" s="48">
        <f t="shared" si="4"/>
        <v>73</v>
      </c>
      <c r="L56" s="28"/>
      <c r="M56" s="82" t="s">
        <v>205</v>
      </c>
      <c r="N56" s="28"/>
      <c r="O56" s="60"/>
      <c r="P56" s="28"/>
      <c r="Q56" s="70"/>
      <c r="R56" s="70">
        <v>45</v>
      </c>
      <c r="S56" s="100"/>
      <c r="T56" s="122">
        <f t="shared" si="5"/>
        <v>3285</v>
      </c>
    </row>
    <row r="57" spans="1:20" x14ac:dyDescent="0.35">
      <c r="A57" s="39"/>
      <c r="B57" s="38"/>
      <c r="C57" s="38"/>
      <c r="D57" s="83">
        <f t="shared" ref="D57:F57" si="6">SUM(D15:D56)</f>
        <v>90</v>
      </c>
      <c r="E57" s="83">
        <f t="shared" si="6"/>
        <v>121</v>
      </c>
      <c r="F57" s="83">
        <f t="shared" si="6"/>
        <v>118</v>
      </c>
      <c r="G57" s="83">
        <f t="shared" ref="G57:J57" si="7">SUM(G18:G56)</f>
        <v>168</v>
      </c>
      <c r="H57" s="83">
        <f t="shared" si="7"/>
        <v>10</v>
      </c>
      <c r="I57" s="83">
        <f t="shared" si="7"/>
        <v>0</v>
      </c>
      <c r="J57" s="83">
        <f t="shared" si="7"/>
        <v>9</v>
      </c>
      <c r="K57" s="83">
        <f>SUM(K15:K56)</f>
        <v>752</v>
      </c>
      <c r="L57" s="39"/>
      <c r="M57" s="39"/>
      <c r="N57" s="39"/>
      <c r="O57" s="84"/>
      <c r="P57" s="84"/>
      <c r="Q57" s="39"/>
      <c r="R57" s="39"/>
      <c r="S57" s="39"/>
      <c r="T57" s="45">
        <f t="shared" si="5"/>
        <v>0</v>
      </c>
    </row>
    <row r="58" spans="1:20" ht="28.5" x14ac:dyDescent="0.35">
      <c r="A58" s="39"/>
      <c r="B58" s="38"/>
      <c r="C58" s="85" t="s">
        <v>206</v>
      </c>
      <c r="D58" s="86"/>
      <c r="E58" s="86"/>
      <c r="F58" s="86"/>
      <c r="G58" s="86"/>
      <c r="H58" s="87"/>
      <c r="I58" s="87"/>
      <c r="J58" s="87"/>
      <c r="K58" s="88"/>
      <c r="L58" s="39"/>
      <c r="M58" s="89" t="s">
        <v>207</v>
      </c>
      <c r="N58" s="90"/>
      <c r="O58" s="39"/>
      <c r="P58" s="39"/>
      <c r="Q58" s="39"/>
      <c r="R58" s="39"/>
      <c r="S58" s="39"/>
      <c r="T58" s="45">
        <f t="shared" si="5"/>
        <v>0</v>
      </c>
    </row>
    <row r="59" spans="1:20" x14ac:dyDescent="0.35">
      <c r="A59" s="39"/>
      <c r="B59" s="38"/>
      <c r="C59" s="91" t="s">
        <v>208</v>
      </c>
      <c r="D59" s="92">
        <v>120</v>
      </c>
      <c r="E59" s="93">
        <v>120</v>
      </c>
      <c r="F59" s="93">
        <v>140</v>
      </c>
      <c r="G59" s="93">
        <v>180</v>
      </c>
      <c r="H59" s="93">
        <v>10</v>
      </c>
      <c r="I59" s="93"/>
      <c r="J59" s="94"/>
      <c r="K59" s="95"/>
      <c r="L59" s="39"/>
      <c r="M59" s="39"/>
      <c r="N59" s="96"/>
      <c r="O59" s="39"/>
      <c r="P59" s="39"/>
      <c r="Q59" s="39"/>
      <c r="R59" s="39"/>
      <c r="S59" s="39"/>
      <c r="T59" s="45">
        <f t="shared" si="5"/>
        <v>0</v>
      </c>
    </row>
    <row r="60" spans="1:20" x14ac:dyDescent="0.35">
      <c r="A60" s="39"/>
      <c r="B60" s="38"/>
      <c r="C60" s="85" t="s">
        <v>209</v>
      </c>
      <c r="D60" s="97">
        <f t="shared" ref="D60:H60" si="8">D59+D58-D57</f>
        <v>30</v>
      </c>
      <c r="E60" s="97">
        <f t="shared" si="8"/>
        <v>-1</v>
      </c>
      <c r="F60" s="97">
        <f t="shared" si="8"/>
        <v>22</v>
      </c>
      <c r="G60" s="97">
        <f t="shared" si="8"/>
        <v>12</v>
      </c>
      <c r="H60" s="97">
        <f t="shared" si="8"/>
        <v>0</v>
      </c>
      <c r="I60" s="97"/>
      <c r="J60" s="97"/>
      <c r="K60" s="98"/>
      <c r="L60" s="99"/>
      <c r="M60" s="39"/>
      <c r="N60" s="96"/>
      <c r="O60" s="39"/>
      <c r="P60" s="39"/>
      <c r="Q60" s="39"/>
      <c r="R60" s="39"/>
      <c r="S60" s="39"/>
      <c r="T60" s="45">
        <f t="shared" si="5"/>
        <v>0</v>
      </c>
    </row>
    <row r="61" spans="1:20" x14ac:dyDescent="0.35">
      <c r="A61" s="39"/>
      <c r="B61" s="38"/>
      <c r="C61" s="100"/>
      <c r="D61" s="101"/>
      <c r="E61" s="101"/>
      <c r="G61" s="101"/>
      <c r="H61" s="101"/>
      <c r="I61" s="101"/>
      <c r="J61" s="101"/>
      <c r="K61" s="102"/>
      <c r="L61" s="103"/>
      <c r="M61" s="39"/>
      <c r="N61" s="96"/>
      <c r="O61" s="39"/>
      <c r="P61" s="39"/>
      <c r="Q61" s="39"/>
      <c r="R61" s="39"/>
      <c r="S61" s="39"/>
      <c r="T61" s="45">
        <f t="shared" si="5"/>
        <v>0</v>
      </c>
    </row>
    <row r="62" spans="1:20" ht="28.5" x14ac:dyDescent="0.35">
      <c r="A62" s="104"/>
      <c r="B62" s="105"/>
      <c r="C62" s="55" t="s">
        <v>210</v>
      </c>
      <c r="D62" s="106"/>
      <c r="E62" s="107"/>
      <c r="F62" s="107"/>
      <c r="G62" s="101"/>
      <c r="H62" s="107"/>
      <c r="I62" s="107"/>
      <c r="J62" s="107"/>
      <c r="K62" s="56"/>
      <c r="L62" s="39"/>
      <c r="M62" s="108"/>
      <c r="N62" s="109"/>
      <c r="O62" s="108"/>
      <c r="P62" s="108"/>
      <c r="Q62" s="108"/>
      <c r="R62" s="108"/>
      <c r="S62" s="108"/>
      <c r="T62" s="45">
        <f t="shared" si="5"/>
        <v>0</v>
      </c>
    </row>
    <row r="63" spans="1:20" ht="28.5" x14ac:dyDescent="0.35">
      <c r="A63" s="39"/>
      <c r="B63" s="110"/>
      <c r="C63" s="46" t="s">
        <v>211</v>
      </c>
      <c r="D63" s="80"/>
      <c r="E63" s="28"/>
      <c r="F63" s="28"/>
      <c r="G63" s="28"/>
      <c r="H63" s="28"/>
      <c r="I63" s="28"/>
      <c r="J63" s="28"/>
      <c r="K63" s="111"/>
      <c r="L63" s="38"/>
      <c r="M63" s="100"/>
      <c r="N63" s="112"/>
      <c r="O63" s="100"/>
      <c r="P63" s="100"/>
      <c r="Q63" s="113"/>
      <c r="R63" s="113">
        <v>25</v>
      </c>
      <c r="S63" s="100"/>
      <c r="T63" s="45">
        <f t="shared" si="5"/>
        <v>0</v>
      </c>
    </row>
    <row r="64" spans="1:20" x14ac:dyDescent="0.35">
      <c r="A64" s="39"/>
      <c r="B64" s="38"/>
      <c r="C64" s="38"/>
      <c r="D64" s="114"/>
      <c r="E64" s="115"/>
      <c r="F64" s="115"/>
      <c r="G64" s="115"/>
      <c r="H64" s="115"/>
      <c r="I64" s="115"/>
      <c r="J64" s="115"/>
      <c r="K64" s="115"/>
      <c r="L64" s="39"/>
      <c r="M64" s="39"/>
      <c r="N64" s="39"/>
      <c r="O64" s="39"/>
      <c r="P64" s="39"/>
      <c r="Q64" s="39"/>
      <c r="R64" s="39"/>
      <c r="S64" s="39"/>
      <c r="T64" s="45">
        <f t="shared" si="5"/>
        <v>0</v>
      </c>
    </row>
    <row r="65" spans="1:20" ht="28.5" x14ac:dyDescent="0.35">
      <c r="A65" s="104"/>
      <c r="B65" s="105"/>
      <c r="C65" s="55" t="s">
        <v>212</v>
      </c>
      <c r="D65" s="106"/>
      <c r="E65" s="107"/>
      <c r="F65" s="107"/>
      <c r="G65" s="107"/>
      <c r="H65" s="107"/>
      <c r="I65" s="107"/>
      <c r="J65" s="107"/>
      <c r="K65" s="56"/>
      <c r="L65" s="39"/>
      <c r="M65" s="108"/>
      <c r="N65" s="109"/>
      <c r="O65" s="108"/>
      <c r="P65" s="108"/>
      <c r="Q65" s="108"/>
      <c r="R65" s="108"/>
      <c r="S65" s="108"/>
      <c r="T65" s="45">
        <f t="shared" si="5"/>
        <v>0</v>
      </c>
    </row>
    <row r="66" spans="1:20" ht="28.5" x14ac:dyDescent="0.35">
      <c r="A66" s="39"/>
      <c r="B66" s="110"/>
      <c r="C66" s="46" t="s">
        <v>136</v>
      </c>
      <c r="D66" s="80"/>
      <c r="E66" s="28"/>
      <c r="F66" s="28"/>
      <c r="G66" s="28"/>
      <c r="H66" s="28"/>
      <c r="I66" s="28"/>
      <c r="J66" s="28"/>
      <c r="K66" s="116">
        <v>18</v>
      </c>
      <c r="L66" s="28"/>
      <c r="M66" s="28"/>
      <c r="N66" s="80"/>
      <c r="O66" s="28"/>
      <c r="P66" s="28"/>
      <c r="Q66" s="46">
        <v>35</v>
      </c>
      <c r="R66" s="46">
        <v>35</v>
      </c>
      <c r="S66" s="28"/>
      <c r="T66" s="45">
        <f t="shared" si="5"/>
        <v>630</v>
      </c>
    </row>
    <row r="67" spans="1:20" ht="28.5" x14ac:dyDescent="0.35">
      <c r="A67" s="39"/>
      <c r="B67" s="110"/>
      <c r="C67" s="46" t="s">
        <v>213</v>
      </c>
      <c r="D67" s="80"/>
      <c r="E67" s="28"/>
      <c r="F67" s="28"/>
      <c r="G67" s="28"/>
      <c r="H67" s="28"/>
      <c r="I67" s="28"/>
      <c r="J67" s="28"/>
      <c r="K67" s="116"/>
      <c r="L67" s="28"/>
      <c r="M67" s="28"/>
      <c r="N67" s="28"/>
      <c r="O67" s="60"/>
      <c r="P67" s="60"/>
      <c r="Q67" s="70">
        <v>50</v>
      </c>
      <c r="R67" s="70">
        <v>50</v>
      </c>
      <c r="S67" s="28"/>
      <c r="T67" s="45">
        <f t="shared" si="5"/>
        <v>0</v>
      </c>
    </row>
    <row r="68" spans="1:20" ht="56.5" x14ac:dyDescent="0.35">
      <c r="A68" s="39"/>
      <c r="B68" s="110"/>
      <c r="C68" s="46" t="s">
        <v>214</v>
      </c>
      <c r="D68" s="80"/>
      <c r="E68" s="28"/>
      <c r="F68" s="28"/>
      <c r="G68" s="28"/>
      <c r="H68" s="28"/>
      <c r="I68" s="28"/>
      <c r="J68" s="28"/>
      <c r="K68" s="116"/>
      <c r="L68" s="28"/>
      <c r="M68" s="28"/>
      <c r="N68" s="28"/>
      <c r="O68" s="60"/>
      <c r="P68" s="60"/>
      <c r="Q68" s="46">
        <v>39</v>
      </c>
      <c r="R68" s="46">
        <v>39</v>
      </c>
      <c r="S68" s="28"/>
      <c r="T68" s="45">
        <f t="shared" si="5"/>
        <v>0</v>
      </c>
    </row>
    <row r="69" spans="1:20" ht="28.5" x14ac:dyDescent="0.35">
      <c r="A69" s="39"/>
      <c r="B69" s="110"/>
      <c r="C69" s="52" t="s">
        <v>215</v>
      </c>
      <c r="D69" s="80"/>
      <c r="E69" s="28"/>
      <c r="F69" s="28"/>
      <c r="G69" s="28"/>
      <c r="H69" s="28"/>
      <c r="I69" s="28"/>
      <c r="J69" s="28"/>
      <c r="K69" s="116"/>
      <c r="L69" s="28"/>
      <c r="M69" s="28"/>
      <c r="N69" s="28"/>
      <c r="O69" s="60"/>
      <c r="P69" s="60"/>
      <c r="Q69" s="46">
        <v>40</v>
      </c>
      <c r="R69" s="46">
        <v>40</v>
      </c>
      <c r="S69" s="28"/>
      <c r="T69" s="45">
        <f t="shared" si="5"/>
        <v>0</v>
      </c>
    </row>
  </sheetData>
  <mergeCells count="12">
    <mergeCell ref="G5:K5"/>
    <mergeCell ref="D6:K6"/>
    <mergeCell ref="C1:K1"/>
    <mergeCell ref="L1:M1"/>
    <mergeCell ref="D2:F2"/>
    <mergeCell ref="G2:K2"/>
    <mergeCell ref="L2:M6"/>
    <mergeCell ref="D3:F3"/>
    <mergeCell ref="G3:K3"/>
    <mergeCell ref="D4:F4"/>
    <mergeCell ref="G4:K4"/>
    <mergeCell ref="D5:F5"/>
  </mergeCells>
  <conditionalFormatting sqref="C15:K15 B15:B16 E19:E20 B19:B21 F19:K21 B26:B59">
    <cfRule type="expression" dxfId="11" priority="5">
      <formula>$L15="x"</formula>
    </cfRule>
  </conditionalFormatting>
  <conditionalFormatting sqref="D15:F56 H15:J56 G15:G57">
    <cfRule type="expression" dxfId="10" priority="3">
      <formula>$L15="x"</formula>
    </cfRule>
  </conditionalFormatting>
  <conditionalFormatting sqref="K14:K59 E19:J19 M20:M24 F21:J21 C15:D59 E26:J59 D60:I60 D63:K69 C68:C69">
    <cfRule type="expression" dxfId="9" priority="1">
      <formula>$L14="x"</formula>
    </cfRule>
  </conditionalFormatting>
  <conditionalFormatting sqref="K14:K69 C15:C69 D19:J19 M20:M24 D21 F21:J21 D36:J36 D41:D42 F41:J42 E41:E43 D45:J69">
    <cfRule type="expression" dxfId="8" priority="2">
      <formula>#REF!="x"</formula>
    </cfRule>
  </conditionalFormatting>
  <conditionalFormatting sqref="L15:L56">
    <cfRule type="notContainsBlanks" dxfId="7" priority="4">
      <formula>LEN(TRIM(L15))&gt;0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AA0E-92B4-4B79-B1B1-627343F0D1A6}">
  <dimension ref="A1:M12"/>
  <sheetViews>
    <sheetView tabSelected="1" workbookViewId="0">
      <selection activeCell="K11" sqref="K11"/>
    </sheetView>
  </sheetViews>
  <sheetFormatPr defaultRowHeight="14.5" x14ac:dyDescent="0.35"/>
  <cols>
    <col min="12" max="12" width="24.36328125" customWidth="1"/>
    <col min="13" max="13" width="19.26953125" customWidth="1"/>
  </cols>
  <sheetData>
    <row r="1" spans="1:13" ht="15" x14ac:dyDescent="0.35">
      <c r="B1" s="41" t="s">
        <v>89</v>
      </c>
      <c r="C1" s="41" t="s">
        <v>91</v>
      </c>
      <c r="D1" s="41" t="s">
        <v>93</v>
      </c>
      <c r="E1" s="41" t="s">
        <v>95</v>
      </c>
      <c r="F1" s="41" t="s">
        <v>96</v>
      </c>
      <c r="G1" s="41" t="s">
        <v>97</v>
      </c>
      <c r="H1" s="41" t="s">
        <v>99</v>
      </c>
      <c r="I1" s="41" t="s">
        <v>104</v>
      </c>
      <c r="L1" s="123" t="s">
        <v>2</v>
      </c>
      <c r="M1" s="124" t="s">
        <v>217</v>
      </c>
    </row>
    <row r="2" spans="1:13" ht="15.5" x14ac:dyDescent="0.35">
      <c r="B2">
        <v>90</v>
      </c>
      <c r="C2">
        <v>121</v>
      </c>
      <c r="D2">
        <v>118</v>
      </c>
      <c r="E2">
        <v>168</v>
      </c>
      <c r="F2">
        <v>10</v>
      </c>
      <c r="G2">
        <v>0</v>
      </c>
      <c r="H2">
        <v>9</v>
      </c>
      <c r="I2">
        <v>752</v>
      </c>
      <c r="K2" t="s">
        <v>89</v>
      </c>
      <c r="L2" s="7" t="s">
        <v>9</v>
      </c>
      <c r="M2" s="125">
        <v>120</v>
      </c>
    </row>
    <row r="3" spans="1:13" ht="28.5" x14ac:dyDescent="0.35">
      <c r="A3" s="85" t="s">
        <v>206</v>
      </c>
      <c r="B3" s="86"/>
      <c r="C3" s="86"/>
      <c r="D3" s="86"/>
      <c r="E3" s="86"/>
      <c r="F3" s="87"/>
      <c r="G3" s="87"/>
      <c r="H3" s="87"/>
      <c r="I3" s="88"/>
      <c r="K3" t="s">
        <v>91</v>
      </c>
      <c r="L3" s="7" t="s">
        <v>16</v>
      </c>
      <c r="M3" s="125">
        <v>120</v>
      </c>
    </row>
    <row r="4" spans="1:13" ht="15.5" x14ac:dyDescent="0.35">
      <c r="A4" s="91" t="s">
        <v>208</v>
      </c>
      <c r="B4" s="92">
        <v>120</v>
      </c>
      <c r="C4" s="93">
        <v>120</v>
      </c>
      <c r="D4" s="93">
        <v>140</v>
      </c>
      <c r="E4" s="93">
        <v>180</v>
      </c>
      <c r="F4" s="93">
        <v>10</v>
      </c>
      <c r="G4" s="93"/>
      <c r="H4" s="94"/>
      <c r="I4" s="95"/>
      <c r="K4" t="s">
        <v>93</v>
      </c>
      <c r="L4" s="7" t="s">
        <v>23</v>
      </c>
      <c r="M4" s="125">
        <v>140</v>
      </c>
    </row>
    <row r="5" spans="1:13" ht="15.5" x14ac:dyDescent="0.35">
      <c r="A5" s="85" t="s">
        <v>209</v>
      </c>
      <c r="B5" s="97">
        <f>B4+B3-C2</f>
        <v>-1</v>
      </c>
      <c r="C5" s="97">
        <f>C4+C3-D2</f>
        <v>2</v>
      </c>
      <c r="D5" s="97">
        <f>D4+D3-E2</f>
        <v>-28</v>
      </c>
      <c r="E5" s="97">
        <f>E4+E3-F2</f>
        <v>170</v>
      </c>
      <c r="F5" s="97">
        <f>F4+F3-G2</f>
        <v>10</v>
      </c>
      <c r="G5" s="97"/>
      <c r="H5" s="97"/>
      <c r="I5" s="98"/>
      <c r="K5" t="s">
        <v>95</v>
      </c>
      <c r="L5" s="7" t="s">
        <v>30</v>
      </c>
      <c r="M5" s="125">
        <v>180</v>
      </c>
    </row>
    <row r="6" spans="1:13" ht="15" x14ac:dyDescent="0.35">
      <c r="K6" t="s">
        <v>96</v>
      </c>
      <c r="L6" s="126" t="s">
        <v>59</v>
      </c>
      <c r="M6" s="127">
        <v>10</v>
      </c>
    </row>
    <row r="7" spans="1:13" ht="62" x14ac:dyDescent="0.35">
      <c r="K7" t="s">
        <v>97</v>
      </c>
      <c r="L7" s="128" t="s">
        <v>98</v>
      </c>
      <c r="M7" s="129">
        <v>27</v>
      </c>
    </row>
    <row r="8" spans="1:13" ht="15.5" x14ac:dyDescent="0.35">
      <c r="L8" s="130"/>
      <c r="M8" s="131"/>
    </row>
    <row r="9" spans="1:13" ht="15.5" x14ac:dyDescent="0.35">
      <c r="K9" t="s">
        <v>218</v>
      </c>
      <c r="L9" s="9" t="s">
        <v>36</v>
      </c>
      <c r="M9" s="125">
        <v>450</v>
      </c>
    </row>
    <row r="10" spans="1:13" ht="15.5" x14ac:dyDescent="0.35">
      <c r="K10" t="s">
        <v>218</v>
      </c>
      <c r="L10" s="9" t="s">
        <v>43</v>
      </c>
      <c r="M10" s="132">
        <v>560</v>
      </c>
    </row>
    <row r="11" spans="1:13" ht="15.5" x14ac:dyDescent="0.35">
      <c r="K11" t="s">
        <v>49</v>
      </c>
      <c r="L11" s="133" t="s">
        <v>50</v>
      </c>
      <c r="M11" s="134">
        <v>650</v>
      </c>
    </row>
    <row r="12" spans="1:13" ht="15.5" x14ac:dyDescent="0.35">
      <c r="K12" t="s">
        <v>219</v>
      </c>
      <c r="L12" s="9" t="s">
        <v>52</v>
      </c>
      <c r="M12" s="132">
        <v>600</v>
      </c>
    </row>
  </sheetData>
  <conditionalFormatting sqref="I1">
    <cfRule type="expression" dxfId="6" priority="3">
      <formula>$L1="x"</formula>
    </cfRule>
  </conditionalFormatting>
  <conditionalFormatting sqref="I1">
    <cfRule type="expression" dxfId="5" priority="4">
      <formula>#REF!="x"</formula>
    </cfRule>
  </conditionalFormatting>
  <conditionalFormatting sqref="A3:I4 B5:G5">
    <cfRule type="expression" dxfId="1" priority="1">
      <formula>$L3="x"</formula>
    </cfRule>
  </conditionalFormatting>
  <conditionalFormatting sqref="A3:I5">
    <cfRule type="expression" dxfId="0" priority="2">
      <formula>#REF!="x"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 Sample</vt:lpstr>
      <vt:lpstr>Bảng tin 1 ngày Sample</vt:lpstr>
      <vt:lpstr>Thông tin bếp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Tung[Nguyen Thanh Tung]</dc:creator>
  <cp:lastModifiedBy>Tung[Nguyen Thanh Tung]</cp:lastModifiedBy>
  <dcterms:created xsi:type="dcterms:W3CDTF">2026-04-23T08:08:02Z</dcterms:created>
  <dcterms:modified xsi:type="dcterms:W3CDTF">2026-04-23T08:19:38Z</dcterms:modified>
</cp:coreProperties>
</file>